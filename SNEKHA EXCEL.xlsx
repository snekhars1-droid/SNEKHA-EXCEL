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10" windowWidth="14810" windowHeight="8010" activeTab="1"/>
  </bookViews>
  <sheets>
    <sheet name="1.compare sales and order" sheetId="2" r:id="rId1"/>
    <sheet name="Dashboard" sheetId="3" r:id="rId2"/>
    <sheet name="2.MEN VS WOMEN" sheetId="4" r:id="rId3"/>
    <sheet name="3.ORDER STATUS" sheetId="5" r:id="rId4"/>
    <sheet name="4.TOP 3 CITY" sheetId="6" r:id="rId5"/>
    <sheet name="5.AGE AND GRNDER BASED ON NUM" sheetId="7" r:id="rId6"/>
    <sheet name="6.MAXIMUM CHANNEL BUY" sheetId="8" r:id="rId7"/>
    <sheet name="7.HIGHEST CATEGORY" sheetId="9" r:id="rId8"/>
    <sheet name="Sheet1" sheetId="1" r:id="rId9"/>
  </sheets>
  <definedNames>
    <definedName name="_xlnm._FilterDatabase" localSheetId="8" hidden="1">Sheet1!$A$2:$S$2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" i="1"/>
</calcChain>
</file>

<file path=xl/sharedStrings.xml><?xml version="1.0" encoding="utf-8"?>
<sst xmlns="http://schemas.openxmlformats.org/spreadsheetml/2006/main" count="361" uniqueCount="91">
  <si>
    <t>Month</t>
  </si>
  <si>
    <t>Count of Order ID</t>
  </si>
  <si>
    <t>Sum of Amenenont</t>
  </si>
  <si>
    <t>Mar</t>
  </si>
  <si>
    <t>Apr</t>
  </si>
  <si>
    <t>Grand Total</t>
  </si>
  <si>
    <r>
      <rPr>
        <sz val="11"/>
        <color rgb="FF000000"/>
        <rFont val="Calibri"/>
        <scheme val="minor"/>
      </rPr>
      <t xml:space="preserve">                                                                                                                     </t>
    </r>
    <r>
      <rPr>
        <b/>
        <sz val="11"/>
        <color rgb="FF000000"/>
        <rFont val="Calibri"/>
        <scheme val="minor"/>
      </rPr>
      <t xml:space="preserve">  </t>
    </r>
    <r>
      <rPr>
        <b/>
        <sz val="14"/>
        <color rgb="FF000000"/>
        <rFont val="Calibri"/>
        <scheme val="minor"/>
      </rPr>
      <t>SALES REPORT</t>
    </r>
  </si>
  <si>
    <t>Gender</t>
  </si>
  <si>
    <t>men</t>
  </si>
  <si>
    <t>women</t>
  </si>
  <si>
    <t>Status</t>
  </si>
  <si>
    <t>delivered</t>
  </si>
  <si>
    <t>pending</t>
  </si>
  <si>
    <t>refund</t>
  </si>
  <si>
    <t>return</t>
  </si>
  <si>
    <t>ship -city</t>
  </si>
  <si>
    <t>madurai</t>
  </si>
  <si>
    <t>chennai</t>
  </si>
  <si>
    <t>coimbatore</t>
  </si>
  <si>
    <t>Age Group</t>
  </si>
  <si>
    <t>adult</t>
  </si>
  <si>
    <t>senior</t>
  </si>
  <si>
    <t>teen</t>
  </si>
  <si>
    <t>Channel</t>
  </si>
  <si>
    <t>ajio</t>
  </si>
  <si>
    <t>flipkart</t>
  </si>
  <si>
    <t>meesho</t>
  </si>
  <si>
    <t>meneesho</t>
  </si>
  <si>
    <t>menyntra</t>
  </si>
  <si>
    <t>myntra</t>
  </si>
  <si>
    <t>nyka</t>
  </si>
  <si>
    <t>purple</t>
  </si>
  <si>
    <t>Category</t>
  </si>
  <si>
    <t>kurta</t>
  </si>
  <si>
    <t>western</t>
  </si>
  <si>
    <t>set</t>
  </si>
  <si>
    <t>uhadi</t>
  </si>
  <si>
    <t>chudi</t>
  </si>
  <si>
    <t>saree</t>
  </si>
  <si>
    <t>Index</t>
  </si>
  <si>
    <t>Order ID</t>
  </si>
  <si>
    <t>Cust ID</t>
  </si>
  <si>
    <t>Age</t>
  </si>
  <si>
    <t>Date</t>
  </si>
  <si>
    <t>Size</t>
  </si>
  <si>
    <t>Qty</t>
  </si>
  <si>
    <t>Currency</t>
  </si>
  <si>
    <t>Amenenont</t>
  </si>
  <si>
    <t>171-1029312-344830</t>
  </si>
  <si>
    <t>XL</t>
  </si>
  <si>
    <t>INR</t>
  </si>
  <si>
    <t>171-1029312-344831</t>
  </si>
  <si>
    <t>XXL</t>
  </si>
  <si>
    <t>171-1029312-344832</t>
  </si>
  <si>
    <t>171-1029312-344833</t>
  </si>
  <si>
    <t>L</t>
  </si>
  <si>
    <t>171-1029312-344834</t>
  </si>
  <si>
    <t>M</t>
  </si>
  <si>
    <t>171-1029312-344835</t>
  </si>
  <si>
    <t>171-1029312-344836</t>
  </si>
  <si>
    <t>171-1029312-344837</t>
  </si>
  <si>
    <t>171-1029312-344838</t>
  </si>
  <si>
    <t>menadurai</t>
  </si>
  <si>
    <t>171-1029312-344839</t>
  </si>
  <si>
    <t>171-1029312-344840</t>
  </si>
  <si>
    <t>171-1029312-344841</t>
  </si>
  <si>
    <t>171-1029312-344842</t>
  </si>
  <si>
    <t>coimenbatore</t>
  </si>
  <si>
    <t>171-1029312-344843</t>
  </si>
  <si>
    <t>171-1029312-344844</t>
  </si>
  <si>
    <t>171-1029312-344845</t>
  </si>
  <si>
    <t>171-1029312-344846</t>
  </si>
  <si>
    <t>171-1029312-344847</t>
  </si>
  <si>
    <t>171-1029312-344848</t>
  </si>
  <si>
    <t>171-1029312-344849</t>
  </si>
  <si>
    <t>171-1029312-344850</t>
  </si>
  <si>
    <t>171-1029312-344851</t>
  </si>
  <si>
    <t>171-1029312-344852</t>
  </si>
  <si>
    <t>171-1029312-344853</t>
  </si>
  <si>
    <t>171-1029312-344854</t>
  </si>
  <si>
    <t>171-1029312-344855</t>
  </si>
  <si>
    <t>171-1029312-344856</t>
  </si>
  <si>
    <t>171-1029312-344857</t>
  </si>
  <si>
    <t>171-1029312-344858</t>
  </si>
  <si>
    <t>171-1029312-344859</t>
  </si>
  <si>
    <t>171-1029312-344860</t>
  </si>
  <si>
    <t>171-1029312-344861</t>
  </si>
  <si>
    <t>171-1029312-344862</t>
  </si>
  <si>
    <t>171-1029312-344863</t>
  </si>
  <si>
    <t>171-1029312-344864</t>
  </si>
  <si>
    <t>171-1029312-344865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</si>
</sst>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1" fillId="2" borderId="0" xfId="0" applyFont="1" applyFill="1"/>
    <xf numFmtId="0" fontId="0" fillId="0" borderId="0" xfId="0" applyNumberFormat="1"/>
    <xf numFmtId="0" fontId="0" fillId="0" borderId="0" xfId="0" pivotButton="1"/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EXCEL.xlsx]1.compare sales and order!PivotTable1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 sales and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rgbClr val="C65911"/>
            </a:solidFill>
            <a:prstDash val="solid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'1.compare sales and order'!$B$3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'1.compare sales and order'!$A$4:$A$6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'1.compare sales and order'!$B$4:$B$6</c:f>
              <c:numCache>
                <c:formatCode>General</c:formatCode>
                <c:ptCount val="2"/>
                <c:pt idx="0">
                  <c:v>20</c:v>
                </c:pt>
                <c:pt idx="1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EC-4391-8E4C-1DA74945C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3837552"/>
        <c:axId val="1413841904"/>
      </c:barChart>
      <c:lineChart>
        <c:grouping val="standard"/>
        <c:varyColors val="0"/>
        <c:ser>
          <c:idx val="1"/>
          <c:order val="1"/>
          <c:tx>
            <c:strRef>
              <c:f>'1.compare sales and order'!$C$3</c:f>
              <c:strCache>
                <c:ptCount val="1"/>
                <c:pt idx="0">
                  <c:v>Sum of Amenenont</c:v>
                </c:pt>
              </c:strCache>
            </c:strRef>
          </c:tx>
          <c:spPr>
            <a:ln w="28575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'1.compare sales and order'!$A$4:$A$6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'1.compare sales and order'!$C$4:$C$6</c:f>
              <c:numCache>
                <c:formatCode>General</c:formatCode>
                <c:ptCount val="2"/>
                <c:pt idx="0">
                  <c:v>10090</c:v>
                </c:pt>
                <c:pt idx="1">
                  <c:v>6842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DEC-4391-8E4C-1DA74945C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852240"/>
        <c:axId val="1413851152"/>
      </c:lineChart>
      <c:catAx>
        <c:axId val="141383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41904"/>
        <c:crosses val="autoZero"/>
        <c:auto val="1"/>
        <c:lblAlgn val="ctr"/>
        <c:lblOffset val="100"/>
        <c:noMultiLvlLbl val="0"/>
      </c:catAx>
      <c:valAx>
        <c:axId val="141384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37552"/>
        <c:crosses val="autoZero"/>
        <c:crossBetween val="between"/>
      </c:valAx>
      <c:valAx>
        <c:axId val="1413851152"/>
        <c:scaling>
          <c:orientation val="minMax"/>
        </c:scaling>
        <c:delete val="0"/>
        <c:axPos val="r"/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52240"/>
        <c:crosses val="max"/>
        <c:crossBetween val="between"/>
      </c:valAx>
      <c:catAx>
        <c:axId val="1413852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13851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EXCEL.xlsx]1.compare sales and order!PivotTable1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 sales and order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C6591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C6591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C6591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C6591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rgbClr val="C65911"/>
            </a:solidFill>
            <a:prstDash val="solid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'1.compare sales and order'!$B$3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'1.compare sales and order'!$A$4:$A$6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'1.compare sales and order'!$B$4:$B$6</c:f>
              <c:numCache>
                <c:formatCode>General</c:formatCode>
                <c:ptCount val="2"/>
                <c:pt idx="0">
                  <c:v>20</c:v>
                </c:pt>
                <c:pt idx="1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E1-4BDB-BBF8-9C866B32F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3839728"/>
        <c:axId val="1413838096"/>
      </c:barChart>
      <c:lineChart>
        <c:grouping val="standard"/>
        <c:varyColors val="0"/>
        <c:ser>
          <c:idx val="1"/>
          <c:order val="1"/>
          <c:tx>
            <c:strRef>
              <c:f>'1.compare sales and order'!$C$3</c:f>
              <c:strCache>
                <c:ptCount val="1"/>
                <c:pt idx="0">
                  <c:v>Sum of Amenenont</c:v>
                </c:pt>
              </c:strCache>
            </c:strRef>
          </c:tx>
          <c:spPr>
            <a:ln w="28575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'1.compare sales and order'!$A$4:$A$6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'1.compare sales and order'!$C$4:$C$6</c:f>
              <c:numCache>
                <c:formatCode>General</c:formatCode>
                <c:ptCount val="2"/>
                <c:pt idx="0">
                  <c:v>10090</c:v>
                </c:pt>
                <c:pt idx="1">
                  <c:v>6842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3E1-4BDB-BBF8-9C866B32F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852784"/>
        <c:axId val="1413839184"/>
      </c:lineChart>
      <c:catAx>
        <c:axId val="141383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38096"/>
        <c:crosses val="autoZero"/>
        <c:auto val="1"/>
        <c:lblAlgn val="ctr"/>
        <c:lblOffset val="100"/>
        <c:noMultiLvlLbl val="0"/>
      </c:catAx>
      <c:valAx>
        <c:axId val="14138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39728"/>
        <c:crosses val="autoZero"/>
        <c:crossBetween val="between"/>
      </c:valAx>
      <c:valAx>
        <c:axId val="1413839184"/>
        <c:scaling>
          <c:orientation val="minMax"/>
        </c:scaling>
        <c:delete val="0"/>
        <c:axPos val="r"/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52784"/>
        <c:crosses val="max"/>
        <c:crossBetween val="between"/>
      </c:valAx>
      <c:catAx>
        <c:axId val="1413852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13839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EXCEL.xlsx]2.MEN VS WOMEN!PivotTable2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MEN VS WOMEN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'2.MEN VS WOMEN'!$B$3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651-47ED-8D6F-2DA2A26FE0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651-47ED-8D6F-2DA2A26FE094}"/>
              </c:ext>
            </c:extLst>
          </c:dPt>
          <c:dLbls>
            <c:spPr>
              <a:noFill/>
              <a:ln>
                <a:solidFill>
                  <a:srgbClr val="FFFFFF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'2.MEN VS WOMEN'!$A$4:$A$6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'2.MEN VS WOMEN'!$B$4:$B$6</c:f>
              <c:numCache>
                <c:formatCode>General</c:formatCode>
                <c:ptCount val="2"/>
                <c:pt idx="0">
                  <c:v>14</c:v>
                </c:pt>
                <c:pt idx="1">
                  <c:v>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651-47ED-8D6F-2DA2A26FE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EXCEL.xlsx]3.ORDER STATUS!PivotTable1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'3.ORDER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659-4D77-B4E4-3EE3DB7EF4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659-4D77-B4E4-3EE3DB7EF4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659-4D77-B4E4-3EE3DB7EF4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659-4D77-B4E4-3EE3DB7EF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'3.ORDER STATUS'!$A$4:$A$8</c:f>
              <c:strCache>
                <c:ptCount val="4"/>
                <c:pt idx="0">
                  <c:v>delivered</c:v>
                </c:pt>
                <c:pt idx="1">
                  <c:v>pending</c:v>
                </c:pt>
                <c:pt idx="2">
                  <c:v>refund</c:v>
                </c:pt>
                <c:pt idx="3">
                  <c:v>return</c:v>
                </c:pt>
              </c:strCache>
            </c:strRef>
          </c:cat>
          <c:val>
            <c:numRef>
              <c:f>'3.ORDER STATUS'!$B$4:$B$8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2659-4D77-B4E4-3EE3DB7EF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EXCEL.xlsx]4.TOP 3 CITY!PivotTable2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CITIES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'4.TOP 3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'4.TOP 3 CITY'!$A$4:$A$7</c:f>
              <c:strCache>
                <c:ptCount val="3"/>
                <c:pt idx="0">
                  <c:v>madurai</c:v>
                </c:pt>
                <c:pt idx="1">
                  <c:v>chennai</c:v>
                </c:pt>
                <c:pt idx="2">
                  <c:v>coimbatore</c:v>
                </c:pt>
              </c:strCache>
            </c:strRef>
          </c:cat>
          <c:val>
            <c:numRef>
              <c:f>'4.TOP 3 CITY'!$B$4:$B$7</c:f>
              <c:numCache>
                <c:formatCode>General</c:formatCode>
                <c:ptCount val="3"/>
                <c:pt idx="0">
                  <c:v>15</c:v>
                </c:pt>
                <c:pt idx="1">
                  <c:v>12</c:v>
                </c:pt>
                <c:pt idx="2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7AF-41BE-8652-977E0812B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3845168"/>
        <c:axId val="1413848432"/>
      </c:barChart>
      <c:catAx>
        <c:axId val="141384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48432"/>
        <c:crosses val="autoZero"/>
        <c:auto val="1"/>
        <c:lblAlgn val="ctr"/>
        <c:lblOffset val="100"/>
        <c:noMultiLvlLbl val="0"/>
      </c:catAx>
      <c:valAx>
        <c:axId val="141384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4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EXCEL.xlsx]5.AGE AND GRNDER BASED ON NUM!PivotTable3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BTW AGE AND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'5.AGE AND GRNDER BASED ON NUM'!$B$3:$B$4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'5.AGE AND GRNDER BASED ON NUM'!$A$5:$A$8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teen</c:v>
                </c:pt>
              </c:strCache>
            </c:strRef>
          </c:cat>
          <c:val>
            <c:numRef>
              <c:f>'5.AGE AND GRNDER BASED ON NUM'!$B$5:$B$8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C1-4D38-9419-F3EE5F1797BF}"/>
            </c:ext>
          </c:extLst>
        </c:ser>
        <c:ser>
          <c:idx val="1"/>
          <c:order val="1"/>
          <c:tx>
            <c:strRef>
              <c:f>'5.AGE AND GRNDER BASED ON NUM'!$C$3:$C$4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'5.AGE AND GRNDER BASED ON NUM'!$A$5:$A$8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teen</c:v>
                </c:pt>
              </c:strCache>
            </c:strRef>
          </c:cat>
          <c:val>
            <c:numRef>
              <c:f>'5.AGE AND GRNDER BASED ON NUM'!$C$5:$C$8</c:f>
              <c:numCache>
                <c:formatCode>General</c:formatCode>
                <c:ptCount val="3"/>
                <c:pt idx="0">
                  <c:v>7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3C1-4D38-9419-F3EE5F17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847344"/>
        <c:axId val="1413847888"/>
      </c:barChart>
      <c:catAx>
        <c:axId val="14138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47888"/>
        <c:crosses val="autoZero"/>
        <c:auto val="1"/>
        <c:lblAlgn val="ctr"/>
        <c:lblOffset val="100"/>
        <c:noMultiLvlLbl val="0"/>
      </c:catAx>
      <c:valAx>
        <c:axId val="14138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4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EXCEL.xlsx]6.MAXIMUM CHANNEL BUY!PivotTable5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CHANNEL BUY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'6.MAXIMUM CHANNEL BUY'!$B$3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'6.MAXIMUM CHANNEL BUY'!$A$4:$A$12</c:f>
              <c:strCache>
                <c:ptCount val="8"/>
                <c:pt idx="0">
                  <c:v>ajio</c:v>
                </c:pt>
                <c:pt idx="1">
                  <c:v>flipkart</c:v>
                </c:pt>
                <c:pt idx="2">
                  <c:v>meesho</c:v>
                </c:pt>
                <c:pt idx="3">
                  <c:v>meneesho</c:v>
                </c:pt>
                <c:pt idx="4">
                  <c:v>menyntra</c:v>
                </c:pt>
                <c:pt idx="5">
                  <c:v>myntra</c:v>
                </c:pt>
                <c:pt idx="6">
                  <c:v>nyka</c:v>
                </c:pt>
                <c:pt idx="7">
                  <c:v>purple</c:v>
                </c:pt>
              </c:strCache>
            </c:strRef>
          </c:cat>
          <c:val>
            <c:numRef>
              <c:f>'6.MAXIMUM CHANNEL BUY'!$B$4:$B$12</c:f>
              <c:numCache>
                <c:formatCode>General</c:formatCode>
                <c:ptCount val="8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554-4A84-8A0A-50838CB16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6536896"/>
        <c:axId val="1416539616"/>
      </c:barChart>
      <c:catAx>
        <c:axId val="141653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39616"/>
        <c:crosses val="autoZero"/>
        <c:auto val="1"/>
        <c:lblAlgn val="ctr"/>
        <c:lblOffset val="100"/>
        <c:noMultiLvlLbl val="0"/>
      </c:catAx>
      <c:valAx>
        <c:axId val="141653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3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EXCEL.xlsx]7.HIGHEST CATEGORY!PivotTable6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'7.HIGHEST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919-47C7-BBE7-44129CC0A3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919-47C7-BBE7-44129CC0A3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919-47C7-BBE7-44129CC0A3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919-47C7-BBE7-44129CC0A3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919-47C7-BBE7-44129CC0A3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919-47C7-BBE7-44129CC0A3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'7.HIGHEST CATEGORY'!$A$4:$A$10</c:f>
              <c:strCache>
                <c:ptCount val="6"/>
                <c:pt idx="0">
                  <c:v>kurta</c:v>
                </c:pt>
                <c:pt idx="1">
                  <c:v>western</c:v>
                </c:pt>
                <c:pt idx="2">
                  <c:v>set</c:v>
                </c:pt>
                <c:pt idx="3">
                  <c:v>uhadi</c:v>
                </c:pt>
                <c:pt idx="4">
                  <c:v>chudi</c:v>
                </c:pt>
                <c:pt idx="5">
                  <c:v>saree</c:v>
                </c:pt>
              </c:strCache>
            </c:strRef>
          </c:cat>
          <c:val>
            <c:numRef>
              <c:f>'7.HIGHEST CATEGORY'!$B$4:$B$10</c:f>
              <c:numCache>
                <c:formatCode>General</c:formatCode>
                <c:ptCount val="6"/>
                <c:pt idx="0">
                  <c:v>17</c:v>
                </c:pt>
                <c:pt idx="1">
                  <c:v>9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919-47C7-BBE7-44129CC0A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EXCEL.xlsx]2.MEN VS WOMEN!PivotTable2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MEN VS WOMEN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'2.MEN VS WOMEN'!$B$3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5F9-472B-8363-2C76518BCE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5F9-472B-8363-2C76518BCE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'2.MEN VS WOMEN'!$A$4:$A$6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'2.MEN VS WOMEN'!$B$4:$B$6</c:f>
              <c:numCache>
                <c:formatCode>General</c:formatCode>
                <c:ptCount val="2"/>
                <c:pt idx="0">
                  <c:v>14</c:v>
                </c:pt>
                <c:pt idx="1">
                  <c:v>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05-42B6-8A57-1D09C8BCD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EXCEL.xlsx]3.ORDER STATUS!PivotTable1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'3.ORDER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'3.ORDER STATUS'!$A$4:$A$8</c:f>
              <c:strCache>
                <c:ptCount val="4"/>
                <c:pt idx="0">
                  <c:v>delivered</c:v>
                </c:pt>
                <c:pt idx="1">
                  <c:v>pending</c:v>
                </c:pt>
                <c:pt idx="2">
                  <c:v>refund</c:v>
                </c:pt>
                <c:pt idx="3">
                  <c:v>return</c:v>
                </c:pt>
              </c:strCache>
            </c:strRef>
          </c:cat>
          <c:val>
            <c:numRef>
              <c:f>'3.ORDER STATUS'!$B$4:$B$8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076-4A41-A00D-1FFBEA76A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EXCEL.xlsx]4.TOP 3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CITIES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'4.TOP 3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'4.TOP 3 CITY'!$A$4:$A$7</c:f>
              <c:strCache>
                <c:ptCount val="3"/>
                <c:pt idx="0">
                  <c:v>madurai</c:v>
                </c:pt>
                <c:pt idx="1">
                  <c:v>chennai</c:v>
                </c:pt>
                <c:pt idx="2">
                  <c:v>coimbatore</c:v>
                </c:pt>
              </c:strCache>
            </c:strRef>
          </c:cat>
          <c:val>
            <c:numRef>
              <c:f>'4.TOP 3 CITY'!$B$4:$B$7</c:f>
              <c:numCache>
                <c:formatCode>General</c:formatCode>
                <c:ptCount val="3"/>
                <c:pt idx="0">
                  <c:v>15</c:v>
                </c:pt>
                <c:pt idx="1">
                  <c:v>12</c:v>
                </c:pt>
                <c:pt idx="2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419-431E-8975-D885C14EA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6548864"/>
        <c:axId val="1416545056"/>
      </c:barChart>
      <c:catAx>
        <c:axId val="14165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45056"/>
        <c:crosses val="autoZero"/>
        <c:auto val="1"/>
        <c:lblAlgn val="ctr"/>
        <c:lblOffset val="100"/>
        <c:noMultiLvlLbl val="0"/>
      </c:catAx>
      <c:valAx>
        <c:axId val="141654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EXCEL.xlsx]5.AGE AND GRNDER BASED ON NUM!PivotTable3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BTW AGE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'5.AGE AND GRNDER BASED ON NUM'!$B$3:$B$4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'5.AGE AND GRNDER BASED ON NUM'!$A$5:$A$8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teen</c:v>
                </c:pt>
              </c:strCache>
            </c:strRef>
          </c:cat>
          <c:val>
            <c:numRef>
              <c:f>'5.AGE AND GRNDER BASED ON NUM'!$B$5:$B$8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34-4C5A-B7C5-F605B791C725}"/>
            </c:ext>
          </c:extLst>
        </c:ser>
        <c:ser>
          <c:idx val="1"/>
          <c:order val="1"/>
          <c:tx>
            <c:strRef>
              <c:f>'5.AGE AND GRNDER BASED ON NUM'!$C$3:$C$4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'5.AGE AND GRNDER BASED ON NUM'!$A$5:$A$8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teen</c:v>
                </c:pt>
              </c:strCache>
            </c:strRef>
          </c:cat>
          <c:val>
            <c:numRef>
              <c:f>'5.AGE AND GRNDER BASED ON NUM'!$C$5:$C$8</c:f>
              <c:numCache>
                <c:formatCode>General</c:formatCode>
                <c:ptCount val="3"/>
                <c:pt idx="0">
                  <c:v>7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E34-4C5A-B7C5-F605B791C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543424"/>
        <c:axId val="1416540160"/>
      </c:barChart>
      <c:catAx>
        <c:axId val="141654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40160"/>
        <c:crosses val="autoZero"/>
        <c:auto val="1"/>
        <c:lblAlgn val="ctr"/>
        <c:lblOffset val="100"/>
        <c:noMultiLvlLbl val="0"/>
      </c:catAx>
      <c:valAx>
        <c:axId val="14165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4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EXCEL.xlsx]6.MAXIMUM CHANNEL BUY!PivotTable5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CHANNEL BUY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'6.MAXIMUM CHANNEL BUY'!$B$3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'6.MAXIMUM CHANNEL BUY'!$A$4:$A$12</c:f>
              <c:strCache>
                <c:ptCount val="8"/>
                <c:pt idx="0">
                  <c:v>ajio</c:v>
                </c:pt>
                <c:pt idx="1">
                  <c:v>flipkart</c:v>
                </c:pt>
                <c:pt idx="2">
                  <c:v>meesho</c:v>
                </c:pt>
                <c:pt idx="3">
                  <c:v>meneesho</c:v>
                </c:pt>
                <c:pt idx="4">
                  <c:v>menyntra</c:v>
                </c:pt>
                <c:pt idx="5">
                  <c:v>myntra</c:v>
                </c:pt>
                <c:pt idx="6">
                  <c:v>nyka</c:v>
                </c:pt>
                <c:pt idx="7">
                  <c:v>purple</c:v>
                </c:pt>
              </c:strCache>
            </c:strRef>
          </c:cat>
          <c:val>
            <c:numRef>
              <c:f>'6.MAXIMUM CHANNEL BUY'!$B$4:$B$12</c:f>
              <c:numCache>
                <c:formatCode>General</c:formatCode>
                <c:ptCount val="8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36-46C6-8BC2-95FCBBFF7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6541792"/>
        <c:axId val="1416542880"/>
      </c:barChart>
      <c:catAx>
        <c:axId val="1416541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42880"/>
        <c:crosses val="autoZero"/>
        <c:auto val="1"/>
        <c:lblAlgn val="ctr"/>
        <c:lblOffset val="100"/>
        <c:noMultiLvlLbl val="0"/>
      </c:catAx>
      <c:valAx>
        <c:axId val="141654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4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[SNEKHA EXCEL.xlsx]7.HIGHEST CATEGORY!PivotTable6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'7.HIGHEST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'7.HIGHEST CATEGORY'!$A$4:$A$10</c:f>
              <c:strCache>
                <c:ptCount val="6"/>
                <c:pt idx="0">
                  <c:v>kurta</c:v>
                </c:pt>
                <c:pt idx="1">
                  <c:v>western</c:v>
                </c:pt>
                <c:pt idx="2">
                  <c:v>set</c:v>
                </c:pt>
                <c:pt idx="3">
                  <c:v>uhadi</c:v>
                </c:pt>
                <c:pt idx="4">
                  <c:v>chudi</c:v>
                </c:pt>
                <c:pt idx="5">
                  <c:v>saree</c:v>
                </c:pt>
              </c:strCache>
            </c:strRef>
          </c:cat>
          <c:val>
            <c:numRef>
              <c:f>'7.HIGHEST CATEGORY'!$B$4:$B$10</c:f>
              <c:numCache>
                <c:formatCode>General</c:formatCode>
                <c:ptCount val="6"/>
                <c:pt idx="0">
                  <c:v>17</c:v>
                </c:pt>
                <c:pt idx="1">
                  <c:v>9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1B-4EF9-AC9D-F9AD73D2E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</xdr:row>
      <xdr:rowOff>38100</xdr:rowOff>
    </xdr:from>
    <xdr:to>
      <xdr:col>10</xdr:col>
      <xdr:colOff>523875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53E1865-740B-A1AB-1184-92F03534D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5</xdr:col>
      <xdr:colOff>247650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B2AB7C7-18F0-4CE4-AF68-18B23BE2D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1</xdr:row>
      <xdr:rowOff>38100</xdr:rowOff>
    </xdr:from>
    <xdr:to>
      <xdr:col>11</xdr:col>
      <xdr:colOff>85725</xdr:colOff>
      <xdr:row>11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AAFE0D34-7E57-4973-8F3E-D88FB3DFC51C}"/>
            </a:ext>
            <a:ext uri="{147F2762-F138-4A5C-976F-8EAC2B608ADB}">
              <a16:predDERef xmlns:a16="http://schemas.microsoft.com/office/drawing/2014/main" xmlns="" pred="{3B2AB7C7-18F0-4CE4-AF68-18B23BE2D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171450</xdr:colOff>
      <xdr:row>1</xdr:row>
      <xdr:rowOff>47625</xdr:rowOff>
    </xdr:from>
    <xdr:to>
      <xdr:col>16</xdr:col>
      <xdr:colOff>447675</xdr:colOff>
      <xdr:row>11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7FB9981F-CD8D-4E7A-93E2-6ADFA0DCEC8E}"/>
            </a:ext>
            <a:ext uri="{147F2762-F138-4A5C-976F-8EAC2B608ADB}">
              <a16:predDERef xmlns:a16="http://schemas.microsoft.com/office/drawing/2014/main" xmlns="" pred="{AAFE0D34-7E57-4973-8F3E-D88FB3DFC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12</xdr:row>
      <xdr:rowOff>57150</xdr:rowOff>
    </xdr:from>
    <xdr:to>
      <xdr:col>5</xdr:col>
      <xdr:colOff>257175</xdr:colOff>
      <xdr:row>23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57C1ABD6-2922-4F2B-9CF0-FA9A6E3EB7AB}"/>
            </a:ext>
            <a:ext uri="{147F2762-F138-4A5C-976F-8EAC2B608ADB}">
              <a16:predDERef xmlns:a16="http://schemas.microsoft.com/office/drawing/2014/main" xmlns="" pred="{7FB9981F-CD8D-4E7A-93E2-6ADFA0DCE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361950</xdr:colOff>
      <xdr:row>12</xdr:row>
      <xdr:rowOff>66675</xdr:rowOff>
    </xdr:from>
    <xdr:to>
      <xdr:col>11</xdr:col>
      <xdr:colOff>104775</xdr:colOff>
      <xdr:row>23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B7FAB46E-DEDB-471B-878A-5958B1B4C8AB}"/>
            </a:ext>
            <a:ext uri="{147F2762-F138-4A5C-976F-8EAC2B608ADB}">
              <a16:predDERef xmlns:a16="http://schemas.microsoft.com/office/drawing/2014/main" xmlns="" pred="{57C1ABD6-2922-4F2B-9CF0-FA9A6E3EB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180975</xdr:colOff>
      <xdr:row>12</xdr:row>
      <xdr:rowOff>85725</xdr:rowOff>
    </xdr:from>
    <xdr:to>
      <xdr:col>16</xdr:col>
      <xdr:colOff>447675</xdr:colOff>
      <xdr:row>23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F64B90BA-5D08-449D-87EB-5663D21F74ED}"/>
            </a:ext>
            <a:ext uri="{147F2762-F138-4A5C-976F-8EAC2B608ADB}">
              <a16:predDERef xmlns:a16="http://schemas.microsoft.com/office/drawing/2014/main" xmlns="" pred="{B7FAB46E-DEDB-471B-878A-5958B1B4C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104775</xdr:colOff>
      <xdr:row>23</xdr:row>
      <xdr:rowOff>152400</xdr:rowOff>
    </xdr:from>
    <xdr:to>
      <xdr:col>7</xdr:col>
      <xdr:colOff>314325</xdr:colOff>
      <xdr:row>33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14A3EE3F-661D-4319-865C-1266BC829FFF}"/>
            </a:ext>
            <a:ext uri="{147F2762-F138-4A5C-976F-8EAC2B608ADB}">
              <a16:predDERef xmlns:a16="http://schemas.microsoft.com/office/drawing/2014/main" xmlns="" pred="{F64B90BA-5D08-449D-87EB-5663D21F7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152400</xdr:rowOff>
    </xdr:from>
    <xdr:to>
      <xdr:col>10</xdr:col>
      <xdr:colOff>266700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480DD10-AC4C-018D-BDE6-42D786CE1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123825</xdr:rowOff>
    </xdr:from>
    <xdr:to>
      <xdr:col>9</xdr:col>
      <xdr:colOff>333375</xdr:colOff>
      <xdr:row>12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2F57496-3FBE-4233-7C93-9E97E890D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142875</xdr:rowOff>
    </xdr:from>
    <xdr:to>
      <xdr:col>8</xdr:col>
      <xdr:colOff>9525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FFD0060-B239-6686-193E-23D206D8B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1</xdr:row>
      <xdr:rowOff>66675</xdr:rowOff>
    </xdr:from>
    <xdr:to>
      <xdr:col>6</xdr:col>
      <xdr:colOff>152400</xdr:colOff>
      <xdr:row>11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2F07ED5-B03E-982F-2120-AE70E0A4C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1</xdr:row>
      <xdr:rowOff>66675</xdr:rowOff>
    </xdr:from>
    <xdr:to>
      <xdr:col>6</xdr:col>
      <xdr:colOff>95250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E3DDC40-7DC2-61A8-517F-F7C7B0596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1</xdr:row>
      <xdr:rowOff>66675</xdr:rowOff>
    </xdr:from>
    <xdr:to>
      <xdr:col>6</xdr:col>
      <xdr:colOff>495300</xdr:colOff>
      <xdr:row>11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81ED64E-7988-BA10-EF25-186E755F1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185.597650810188" createdVersion="8" refreshedVersion="8" minRefreshableVersion="3" recordCount="36">
  <cacheSource type="worksheet">
    <worksheetSource ref="A2:P38" sheet="Sheet1"/>
  </cacheSource>
  <cacheFields count="16">
    <cacheField name="Index" numFmtId="0">
      <sharedItems containsSemiMixedTypes="0" containsString="0" containsNumber="1" containsInteger="1" minValue="1" maxValue="36"/>
    </cacheField>
    <cacheField name="Order ID" numFmtId="0">
      <sharedItems/>
    </cacheField>
    <cacheField name="Cust ID" numFmtId="0">
      <sharedItems containsSemiMixedTypes="0" containsString="0" containsNumber="1" containsInteger="1" minValue="1029312" maxValue="1029312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2" maxValue="90"/>
    </cacheField>
    <cacheField name="Age Group" numFmtId="0">
      <sharedItems count="3">
        <s v="adult"/>
        <s v="teen"/>
        <s v="senior"/>
      </sharedItems>
    </cacheField>
    <cacheField name="Date" numFmtId="14">
      <sharedItems containsSemiMixedTypes="0" containsNonDate="0" containsDate="1" containsString="0" minDate="2022-03-01T00:00:00" maxDate="2022-04-13T00:00:00"/>
    </cacheField>
    <cacheField name="Month" numFmtId="14">
      <sharedItems count="2">
        <s v="Apr"/>
        <s v="Mar"/>
      </sharedItems>
    </cacheField>
    <cacheField name="Status" numFmtId="0">
      <sharedItems count="4">
        <s v="delivered"/>
        <s v="refund"/>
        <s v="pending"/>
        <s v="return"/>
      </sharedItems>
    </cacheField>
    <cacheField name="Channel" numFmtId="0">
      <sharedItems count="8">
        <s v="myntra"/>
        <s v="meesho"/>
        <s v="nyka"/>
        <s v="purple"/>
        <s v="ajio"/>
        <s v="flipkart"/>
        <s v="menyntra"/>
        <s v="meneesho"/>
      </sharedItems>
    </cacheField>
    <cacheField name="Category" numFmtId="0">
      <sharedItems count="6">
        <s v="kurta"/>
        <s v="set"/>
        <s v="western"/>
        <s v="saree"/>
        <s v="uhadi"/>
        <s v="chudi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1"/>
    </cacheField>
    <cacheField name="Currency" numFmtId="0">
      <sharedItems/>
    </cacheField>
    <cacheField name="Amenenont" numFmtId="0">
      <sharedItems containsSemiMixedTypes="0" containsString="0" containsNumber="1" containsInteger="1" minValue="12" maxValue="901"/>
    </cacheField>
    <cacheField name="ship -city" numFmtId="0">
      <sharedItems count="5">
        <s v="madurai"/>
        <s v="chennai"/>
        <s v="coimbatore"/>
        <s v="menadurai"/>
        <s v="coimenbato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s v="171-1029312-344830"/>
    <n v="1029312"/>
    <x v="0"/>
    <n v="44"/>
    <x v="0"/>
    <d v="2022-04-12T00:00:00"/>
    <x v="0"/>
    <x v="0"/>
    <x v="0"/>
    <x v="0"/>
    <s v="XL"/>
    <n v="1"/>
    <s v="INR"/>
    <n v="334"/>
    <x v="0"/>
  </r>
  <r>
    <n v="2"/>
    <s v="171-1029312-344831"/>
    <n v="1029312"/>
    <x v="1"/>
    <n v="29"/>
    <x v="1"/>
    <d v="2022-04-12T00:00:00"/>
    <x v="0"/>
    <x v="0"/>
    <x v="1"/>
    <x v="1"/>
    <s v="XXL"/>
    <n v="1"/>
    <s v="INR"/>
    <n v="456"/>
    <x v="1"/>
  </r>
  <r>
    <n v="3"/>
    <s v="171-1029312-344832"/>
    <n v="1029312"/>
    <x v="0"/>
    <n v="35"/>
    <x v="0"/>
    <d v="2022-04-12T00:00:00"/>
    <x v="0"/>
    <x v="0"/>
    <x v="2"/>
    <x v="1"/>
    <s v="Size"/>
    <n v="1"/>
    <s v="INR"/>
    <n v="345"/>
    <x v="2"/>
  </r>
  <r>
    <n v="4"/>
    <s v="171-1029312-344833"/>
    <n v="1029312"/>
    <x v="0"/>
    <n v="56"/>
    <x v="2"/>
    <d v="2022-04-12T00:00:00"/>
    <x v="0"/>
    <x v="0"/>
    <x v="3"/>
    <x v="1"/>
    <s v="L"/>
    <n v="1"/>
    <s v="INR"/>
    <n v="123"/>
    <x v="0"/>
  </r>
  <r>
    <n v="5"/>
    <s v="171-1029312-344834"/>
    <n v="1029312"/>
    <x v="0"/>
    <n v="35"/>
    <x v="0"/>
    <d v="2022-04-12T00:00:00"/>
    <x v="0"/>
    <x v="0"/>
    <x v="4"/>
    <x v="0"/>
    <s v="M"/>
    <n v="1"/>
    <s v="INR"/>
    <n v="456"/>
    <x v="1"/>
  </r>
  <r>
    <n v="6"/>
    <s v="171-1029312-344835"/>
    <n v="1029312"/>
    <x v="0"/>
    <n v="23"/>
    <x v="1"/>
    <d v="2022-04-12T00:00:00"/>
    <x v="0"/>
    <x v="0"/>
    <x v="5"/>
    <x v="2"/>
    <s v="XXL"/>
    <n v="1"/>
    <s v="INR"/>
    <n v="123"/>
    <x v="0"/>
  </r>
  <r>
    <n v="7"/>
    <s v="171-1029312-344836"/>
    <n v="1029312"/>
    <x v="1"/>
    <n v="45"/>
    <x v="0"/>
    <d v="2022-04-12T00:00:00"/>
    <x v="0"/>
    <x v="0"/>
    <x v="0"/>
    <x v="0"/>
    <s v="XL"/>
    <n v="1"/>
    <s v="INR"/>
    <n v="456"/>
    <x v="0"/>
  </r>
  <r>
    <n v="8"/>
    <s v="171-1029312-344837"/>
    <n v="1029312"/>
    <x v="1"/>
    <n v="67"/>
    <x v="2"/>
    <d v="2022-04-12T00:00:00"/>
    <x v="0"/>
    <x v="0"/>
    <x v="0"/>
    <x v="0"/>
    <s v="M"/>
    <n v="1"/>
    <s v="INR"/>
    <n v="789"/>
    <x v="0"/>
  </r>
  <r>
    <n v="9"/>
    <s v="171-1029312-344838"/>
    <n v="1029312"/>
    <x v="1"/>
    <n v="23"/>
    <x v="1"/>
    <d v="2022-04-12T00:00:00"/>
    <x v="0"/>
    <x v="0"/>
    <x v="6"/>
    <x v="1"/>
    <s v="men"/>
    <n v="1"/>
    <s v="INR"/>
    <n v="12"/>
    <x v="3"/>
  </r>
  <r>
    <n v="10"/>
    <s v="171-1029312-344839"/>
    <n v="1029312"/>
    <x v="1"/>
    <n v="12"/>
    <x v="1"/>
    <d v="2022-04-12T00:00:00"/>
    <x v="0"/>
    <x v="1"/>
    <x v="5"/>
    <x v="2"/>
    <s v="men"/>
    <n v="1"/>
    <s v="INR"/>
    <n v="345"/>
    <x v="3"/>
  </r>
  <r>
    <n v="11"/>
    <s v="171-1029312-344840"/>
    <n v="1029312"/>
    <x v="0"/>
    <n v="89"/>
    <x v="2"/>
    <d v="2022-04-12T00:00:00"/>
    <x v="0"/>
    <x v="1"/>
    <x v="5"/>
    <x v="3"/>
    <s v="XL"/>
    <n v="1"/>
    <s v="INR"/>
    <n v="678"/>
    <x v="0"/>
  </r>
  <r>
    <n v="12"/>
    <s v="171-1029312-344841"/>
    <n v="1029312"/>
    <x v="0"/>
    <n v="34"/>
    <x v="0"/>
    <d v="2022-04-12T00:00:00"/>
    <x v="0"/>
    <x v="1"/>
    <x v="1"/>
    <x v="0"/>
    <s v="Size"/>
    <n v="1"/>
    <s v="INR"/>
    <n v="901"/>
    <x v="0"/>
  </r>
  <r>
    <n v="13"/>
    <s v="171-1029312-344842"/>
    <n v="1029312"/>
    <x v="1"/>
    <n v="56"/>
    <x v="2"/>
    <d v="2022-03-09T00:00:00"/>
    <x v="1"/>
    <x v="1"/>
    <x v="7"/>
    <x v="0"/>
    <s v="XL"/>
    <n v="1"/>
    <s v="INR"/>
    <n v="234"/>
    <x v="4"/>
  </r>
  <r>
    <n v="14"/>
    <s v="171-1029312-344843"/>
    <n v="1029312"/>
    <x v="1"/>
    <n v="78"/>
    <x v="2"/>
    <d v="2022-03-09T00:00:00"/>
    <x v="1"/>
    <x v="1"/>
    <x v="1"/>
    <x v="0"/>
    <s v="M"/>
    <n v="1"/>
    <s v="INR"/>
    <n v="567"/>
    <x v="1"/>
  </r>
  <r>
    <n v="15"/>
    <s v="171-1029312-344844"/>
    <n v="1029312"/>
    <x v="0"/>
    <n v="12"/>
    <x v="1"/>
    <d v="2022-03-09T00:00:00"/>
    <x v="1"/>
    <x v="1"/>
    <x v="2"/>
    <x v="2"/>
    <s v="L"/>
    <n v="1"/>
    <s v="INR"/>
    <n v="890"/>
    <x v="1"/>
  </r>
  <r>
    <n v="16"/>
    <s v="171-1029312-344845"/>
    <n v="1029312"/>
    <x v="1"/>
    <n v="34"/>
    <x v="0"/>
    <d v="2022-03-09T00:00:00"/>
    <x v="1"/>
    <x v="2"/>
    <x v="2"/>
    <x v="4"/>
    <s v="XXL"/>
    <n v="1"/>
    <s v="INR"/>
    <n v="123"/>
    <x v="1"/>
  </r>
  <r>
    <n v="17"/>
    <s v="171-1029312-344846"/>
    <n v="1029312"/>
    <x v="0"/>
    <n v="56"/>
    <x v="2"/>
    <d v="2022-03-09T00:00:00"/>
    <x v="1"/>
    <x v="2"/>
    <x v="4"/>
    <x v="5"/>
    <s v="XL"/>
    <n v="1"/>
    <s v="INR"/>
    <n v="456"/>
    <x v="2"/>
  </r>
  <r>
    <n v="18"/>
    <s v="171-1029312-344847"/>
    <n v="1029312"/>
    <x v="1"/>
    <n v="78"/>
    <x v="2"/>
    <d v="2022-04-07T00:00:00"/>
    <x v="0"/>
    <x v="2"/>
    <x v="4"/>
    <x v="3"/>
    <s v="XL"/>
    <n v="1"/>
    <s v="INR"/>
    <n v="789"/>
    <x v="1"/>
  </r>
  <r>
    <n v="19"/>
    <s v="171-1029312-344848"/>
    <n v="1029312"/>
    <x v="0"/>
    <n v="90"/>
    <x v="2"/>
    <d v="2022-04-07T00:00:00"/>
    <x v="0"/>
    <x v="2"/>
    <x v="3"/>
    <x v="0"/>
    <s v="XL"/>
    <n v="1"/>
    <s v="INR"/>
    <n v="12"/>
    <x v="1"/>
  </r>
  <r>
    <n v="20"/>
    <s v="171-1029312-344849"/>
    <n v="1029312"/>
    <x v="1"/>
    <n v="12"/>
    <x v="1"/>
    <d v="2022-04-07T00:00:00"/>
    <x v="0"/>
    <x v="2"/>
    <x v="4"/>
    <x v="2"/>
    <s v="M"/>
    <n v="1"/>
    <s v="INR"/>
    <n v="345"/>
    <x v="2"/>
  </r>
  <r>
    <n v="21"/>
    <s v="171-1029312-344850"/>
    <n v="1029312"/>
    <x v="0"/>
    <n v="34"/>
    <x v="0"/>
    <d v="2022-04-07T00:00:00"/>
    <x v="0"/>
    <x v="2"/>
    <x v="3"/>
    <x v="2"/>
    <s v="XL"/>
    <n v="1"/>
    <s v="INR"/>
    <n v="678"/>
    <x v="1"/>
  </r>
  <r>
    <n v="22"/>
    <s v="171-1029312-344851"/>
    <n v="1029312"/>
    <x v="1"/>
    <n v="56"/>
    <x v="2"/>
    <d v="2022-03-06T00:00:00"/>
    <x v="1"/>
    <x v="2"/>
    <x v="3"/>
    <x v="0"/>
    <s v="M"/>
    <n v="1"/>
    <s v="INR"/>
    <n v="901"/>
    <x v="1"/>
  </r>
  <r>
    <n v="23"/>
    <s v="171-1029312-344852"/>
    <n v="1029312"/>
    <x v="0"/>
    <n v="78"/>
    <x v="2"/>
    <d v="2022-03-06T00:00:00"/>
    <x v="1"/>
    <x v="2"/>
    <x v="3"/>
    <x v="0"/>
    <s v="M"/>
    <n v="1"/>
    <s v="INR"/>
    <n v="234"/>
    <x v="2"/>
  </r>
  <r>
    <n v="24"/>
    <s v="171-1029312-344853"/>
    <n v="1029312"/>
    <x v="1"/>
    <n v="90"/>
    <x v="2"/>
    <d v="2022-03-07T00:00:00"/>
    <x v="1"/>
    <x v="1"/>
    <x v="4"/>
    <x v="2"/>
    <s v="M"/>
    <n v="1"/>
    <s v="INR"/>
    <n v="567"/>
    <x v="1"/>
  </r>
  <r>
    <n v="25"/>
    <s v="171-1029312-344854"/>
    <n v="1029312"/>
    <x v="0"/>
    <n v="12"/>
    <x v="1"/>
    <d v="2022-03-08T00:00:00"/>
    <x v="1"/>
    <x v="0"/>
    <x v="4"/>
    <x v="4"/>
    <s v="M"/>
    <n v="1"/>
    <s v="INR"/>
    <n v="890"/>
    <x v="2"/>
  </r>
  <r>
    <n v="26"/>
    <s v="171-1029312-344855"/>
    <n v="1029312"/>
    <x v="1"/>
    <n v="34"/>
    <x v="0"/>
    <d v="2022-03-09T00:00:00"/>
    <x v="1"/>
    <x v="3"/>
    <x v="3"/>
    <x v="5"/>
    <s v="M"/>
    <n v="1"/>
    <s v="INR"/>
    <n v="123"/>
    <x v="1"/>
  </r>
  <r>
    <n v="27"/>
    <s v="171-1029312-344856"/>
    <n v="1029312"/>
    <x v="1"/>
    <n v="56"/>
    <x v="2"/>
    <d v="2022-03-10T00:00:00"/>
    <x v="1"/>
    <x v="3"/>
    <x v="1"/>
    <x v="2"/>
    <s v="M"/>
    <n v="1"/>
    <s v="INR"/>
    <n v="456"/>
    <x v="2"/>
  </r>
  <r>
    <n v="28"/>
    <s v="171-1029312-344857"/>
    <n v="1029312"/>
    <x v="0"/>
    <n v="78"/>
    <x v="2"/>
    <d v="2022-03-11T00:00:00"/>
    <x v="1"/>
    <x v="3"/>
    <x v="1"/>
    <x v="0"/>
    <s v="L"/>
    <n v="1"/>
    <s v="INR"/>
    <n v="789"/>
    <x v="1"/>
  </r>
  <r>
    <n v="29"/>
    <s v="171-1029312-344858"/>
    <n v="1029312"/>
    <x v="0"/>
    <n v="90"/>
    <x v="2"/>
    <d v="2022-03-12T00:00:00"/>
    <x v="1"/>
    <x v="3"/>
    <x v="0"/>
    <x v="2"/>
    <s v="M"/>
    <n v="1"/>
    <s v="INR"/>
    <n v="234"/>
    <x v="0"/>
  </r>
  <r>
    <n v="30"/>
    <s v="171-1029312-344859"/>
    <n v="1029312"/>
    <x v="0"/>
    <n v="12"/>
    <x v="1"/>
    <d v="2022-03-01T00:00:00"/>
    <x v="1"/>
    <x v="3"/>
    <x v="1"/>
    <x v="0"/>
    <s v="L"/>
    <n v="1"/>
    <s v="INR"/>
    <n v="567"/>
    <x v="0"/>
  </r>
  <r>
    <n v="31"/>
    <s v="171-1029312-344860"/>
    <n v="1029312"/>
    <x v="0"/>
    <n v="34"/>
    <x v="0"/>
    <d v="2022-03-02T00:00:00"/>
    <x v="1"/>
    <x v="3"/>
    <x v="4"/>
    <x v="2"/>
    <s v="M"/>
    <n v="1"/>
    <s v="INR"/>
    <n v="890"/>
    <x v="0"/>
  </r>
  <r>
    <n v="32"/>
    <s v="171-1029312-344861"/>
    <n v="1029312"/>
    <x v="0"/>
    <n v="56"/>
    <x v="2"/>
    <d v="2022-03-03T00:00:00"/>
    <x v="1"/>
    <x v="3"/>
    <x v="0"/>
    <x v="0"/>
    <s v="XXL"/>
    <n v="1"/>
    <s v="INR"/>
    <n v="123"/>
    <x v="0"/>
  </r>
  <r>
    <n v="33"/>
    <s v="171-1029312-344862"/>
    <n v="1029312"/>
    <x v="0"/>
    <n v="78"/>
    <x v="2"/>
    <d v="2022-03-04T00:00:00"/>
    <x v="1"/>
    <x v="3"/>
    <x v="5"/>
    <x v="0"/>
    <s v="XL"/>
    <n v="1"/>
    <s v="INR"/>
    <n v="456"/>
    <x v="0"/>
  </r>
  <r>
    <n v="34"/>
    <s v="171-1029312-344863"/>
    <n v="1029312"/>
    <x v="0"/>
    <n v="89"/>
    <x v="2"/>
    <d v="2022-03-05T00:00:00"/>
    <x v="1"/>
    <x v="3"/>
    <x v="5"/>
    <x v="0"/>
    <s v="XXL"/>
    <n v="1"/>
    <s v="INR"/>
    <n v="789"/>
    <x v="0"/>
  </r>
  <r>
    <n v="35"/>
    <s v="171-1029312-344864"/>
    <n v="1029312"/>
    <x v="0"/>
    <n v="12"/>
    <x v="1"/>
    <d v="2022-03-11T00:00:00"/>
    <x v="1"/>
    <x v="3"/>
    <x v="5"/>
    <x v="0"/>
    <s v="XL"/>
    <n v="1"/>
    <s v="INR"/>
    <n v="234"/>
    <x v="0"/>
  </r>
  <r>
    <n v="36"/>
    <s v="171-1029312-344865"/>
    <n v="1029312"/>
    <x v="0"/>
    <n v="34"/>
    <x v="0"/>
    <d v="2022-03-08T00:00:00"/>
    <x v="1"/>
    <x v="3"/>
    <x v="5"/>
    <x v="0"/>
    <s v="XL"/>
    <n v="1"/>
    <s v="INR"/>
    <n v="56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6" firstHeaderRow="0" firstDataRow="1" firstDataCol="1"/>
  <pivotFields count="1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Sum of Amenenont" fld="1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6"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4">
    <i>
      <x v="3"/>
    </i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5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8" firstHeaderRow="1" firstDataRow="2" firstDataCol="1"/>
  <pivotFields count="16">
    <pivotField compact="0" outline="0" showAll="0"/>
    <pivotField dataField="1"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Order ID" fld="1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2" firstHeaderRow="1" firstDataRow="1" firstDataCol="1"/>
  <pivotFields count="1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9">
        <item x="4"/>
        <item x="5"/>
        <item x="1"/>
        <item x="7"/>
        <item x="6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 ID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5"/>
        <item x="0"/>
        <item x="3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7">
    <i>
      <x v="1"/>
    </i>
    <i>
      <x v="5"/>
    </i>
    <i>
      <x v="3"/>
    </i>
    <i>
      <x v="4"/>
    </i>
    <i>
      <x/>
    </i>
    <i>
      <x v="2"/>
    </i>
    <i t="grand">
      <x/>
    </i>
  </rowItems>
  <colItems count="1">
    <i/>
  </colItems>
  <dataFields count="1">
    <dataField name="Count of Order ID" fld="1" subtotal="count" baseField="0" baseItem="0"/>
  </dataFields>
  <chartFormats count="2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A3" sqref="A3:C6"/>
    </sheetView>
  </sheetViews>
  <sheetFormatPr defaultRowHeight="14.5" x14ac:dyDescent="0.35"/>
  <cols>
    <col min="1" max="1" width="11.453125" bestFit="1" customWidth="1"/>
    <col min="2" max="2" width="16.54296875" bestFit="1" customWidth="1"/>
    <col min="3" max="3" width="18.1796875" bestFit="1" customWidth="1"/>
  </cols>
  <sheetData>
    <row r="3" spans="1:3" x14ac:dyDescent="0.35">
      <c r="A3" s="6" t="s">
        <v>0</v>
      </c>
      <c r="B3" t="s">
        <v>1</v>
      </c>
      <c r="C3" t="s">
        <v>2</v>
      </c>
    </row>
    <row r="4" spans="1:3" x14ac:dyDescent="0.35">
      <c r="A4" t="s">
        <v>3</v>
      </c>
      <c r="B4" s="5">
        <v>20</v>
      </c>
      <c r="C4" s="5">
        <v>10090</v>
      </c>
    </row>
    <row r="5" spans="1:3" x14ac:dyDescent="0.35">
      <c r="A5" t="s">
        <v>4</v>
      </c>
      <c r="B5" s="5">
        <v>16</v>
      </c>
      <c r="C5" s="5">
        <v>6842</v>
      </c>
    </row>
    <row r="6" spans="1:3" x14ac:dyDescent="0.35">
      <c r="A6" t="s">
        <v>5</v>
      </c>
      <c r="B6" s="5">
        <v>36</v>
      </c>
      <c r="C6" s="5">
        <v>16932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showGridLines="0" tabSelected="1" workbookViewId="0">
      <selection activeCell="J28" sqref="J28"/>
    </sheetView>
  </sheetViews>
  <sheetFormatPr defaultRowHeight="14.5" x14ac:dyDescent="0.35"/>
  <sheetData>
    <row r="1" spans="1:28" ht="18.5" x14ac:dyDescent="0.45">
      <c r="A1" s="7" t="s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  <c r="O1" s="7" t="s">
        <v>6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</row>
  </sheetData>
  <mergeCells count="2">
    <mergeCell ref="A1:N1"/>
    <mergeCell ref="O1:A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:B6"/>
    </sheetView>
  </sheetViews>
  <sheetFormatPr defaultRowHeight="14.5" x14ac:dyDescent="0.35"/>
  <cols>
    <col min="1" max="1" width="11.453125" bestFit="1" customWidth="1"/>
    <col min="2" max="2" width="16.54296875" bestFit="1" customWidth="1"/>
  </cols>
  <sheetData>
    <row r="3" spans="1:2" x14ac:dyDescent="0.35">
      <c r="A3" s="6" t="s">
        <v>7</v>
      </c>
      <c r="B3" t="s">
        <v>1</v>
      </c>
    </row>
    <row r="4" spans="1:2" x14ac:dyDescent="0.35">
      <c r="A4" t="s">
        <v>8</v>
      </c>
      <c r="B4" s="5">
        <v>14</v>
      </c>
    </row>
    <row r="5" spans="1:2" x14ac:dyDescent="0.35">
      <c r="A5" t="s">
        <v>9</v>
      </c>
      <c r="B5" s="5">
        <v>22</v>
      </c>
    </row>
    <row r="6" spans="1:2" x14ac:dyDescent="0.35">
      <c r="A6" t="s">
        <v>5</v>
      </c>
      <c r="B6" s="5">
        <v>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K12" sqref="K12"/>
    </sheetView>
  </sheetViews>
  <sheetFormatPr defaultRowHeight="14.5" x14ac:dyDescent="0.35"/>
  <cols>
    <col min="1" max="1" width="11.453125" bestFit="1" customWidth="1"/>
    <col min="2" max="2" width="16.54296875" bestFit="1" customWidth="1"/>
  </cols>
  <sheetData>
    <row r="3" spans="1:2" x14ac:dyDescent="0.35">
      <c r="A3" s="6" t="s">
        <v>10</v>
      </c>
      <c r="B3" t="s">
        <v>1</v>
      </c>
    </row>
    <row r="4" spans="1:2" x14ac:dyDescent="0.35">
      <c r="A4" t="s">
        <v>11</v>
      </c>
      <c r="B4" s="5">
        <v>10</v>
      </c>
    </row>
    <row r="5" spans="1:2" x14ac:dyDescent="0.35">
      <c r="A5" t="s">
        <v>12</v>
      </c>
      <c r="B5" s="5">
        <v>8</v>
      </c>
    </row>
    <row r="6" spans="1:2" x14ac:dyDescent="0.35">
      <c r="A6" t="s">
        <v>13</v>
      </c>
      <c r="B6" s="5">
        <v>7</v>
      </c>
    </row>
    <row r="7" spans="1:2" x14ac:dyDescent="0.35">
      <c r="A7" t="s">
        <v>14</v>
      </c>
      <c r="B7" s="5">
        <v>11</v>
      </c>
    </row>
    <row r="8" spans="1:2" x14ac:dyDescent="0.35">
      <c r="A8" t="s">
        <v>5</v>
      </c>
      <c r="B8" s="5">
        <v>36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:B7"/>
    </sheetView>
  </sheetViews>
  <sheetFormatPr defaultRowHeight="14.5" x14ac:dyDescent="0.35"/>
  <cols>
    <col min="1" max="1" width="12" bestFit="1" customWidth="1"/>
    <col min="2" max="2" width="16.54296875" bestFit="1" customWidth="1"/>
  </cols>
  <sheetData>
    <row r="3" spans="1:2" x14ac:dyDescent="0.35">
      <c r="A3" s="6" t="s">
        <v>15</v>
      </c>
      <c r="B3" t="s">
        <v>1</v>
      </c>
    </row>
    <row r="4" spans="1:2" x14ac:dyDescent="0.35">
      <c r="A4" t="s">
        <v>16</v>
      </c>
      <c r="B4" s="5">
        <v>15</v>
      </c>
    </row>
    <row r="5" spans="1:2" x14ac:dyDescent="0.35">
      <c r="A5" t="s">
        <v>17</v>
      </c>
      <c r="B5" s="5">
        <v>12</v>
      </c>
    </row>
    <row r="6" spans="1:2" x14ac:dyDescent="0.35">
      <c r="A6" t="s">
        <v>18</v>
      </c>
      <c r="B6" s="5">
        <v>6</v>
      </c>
    </row>
    <row r="7" spans="1:2" x14ac:dyDescent="0.35">
      <c r="A7" t="s">
        <v>5</v>
      </c>
      <c r="B7" s="5">
        <v>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H11" sqref="H11"/>
    </sheetView>
  </sheetViews>
  <sheetFormatPr defaultRowHeight="14.5" x14ac:dyDescent="0.35"/>
  <cols>
    <col min="1" max="1" width="16.54296875" bestFit="1" customWidth="1"/>
    <col min="2" max="2" width="10.54296875" bestFit="1" customWidth="1"/>
    <col min="3" max="3" width="7.54296875" bestFit="1" customWidth="1"/>
    <col min="4" max="4" width="11.453125" bestFit="1" customWidth="1"/>
  </cols>
  <sheetData>
    <row r="3" spans="1:4" x14ac:dyDescent="0.35">
      <c r="A3" s="6" t="s">
        <v>1</v>
      </c>
      <c r="B3" s="6" t="s">
        <v>7</v>
      </c>
    </row>
    <row r="4" spans="1:4" x14ac:dyDescent="0.35">
      <c r="A4" s="6" t="s">
        <v>19</v>
      </c>
      <c r="B4" t="s">
        <v>8</v>
      </c>
      <c r="C4" t="s">
        <v>9</v>
      </c>
      <c r="D4" t="s">
        <v>5</v>
      </c>
    </row>
    <row r="5" spans="1:4" x14ac:dyDescent="0.35">
      <c r="A5" t="s">
        <v>20</v>
      </c>
      <c r="B5" s="5">
        <v>3</v>
      </c>
      <c r="C5" s="5">
        <v>7</v>
      </c>
      <c r="D5" s="5">
        <v>10</v>
      </c>
    </row>
    <row r="6" spans="1:4" x14ac:dyDescent="0.35">
      <c r="A6" t="s">
        <v>21</v>
      </c>
      <c r="B6" s="5">
        <v>7</v>
      </c>
      <c r="C6" s="5">
        <v>10</v>
      </c>
      <c r="D6" s="5">
        <v>17</v>
      </c>
    </row>
    <row r="7" spans="1:4" x14ac:dyDescent="0.35">
      <c r="A7" t="s">
        <v>22</v>
      </c>
      <c r="B7" s="5">
        <v>4</v>
      </c>
      <c r="C7" s="5">
        <v>5</v>
      </c>
      <c r="D7" s="5">
        <v>9</v>
      </c>
    </row>
    <row r="8" spans="1:4" x14ac:dyDescent="0.35">
      <c r="A8" t="s">
        <v>5</v>
      </c>
      <c r="B8" s="5">
        <v>14</v>
      </c>
      <c r="C8" s="5">
        <v>22</v>
      </c>
      <c r="D8" s="5">
        <v>36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A3" sqref="A3:B3"/>
    </sheetView>
  </sheetViews>
  <sheetFormatPr defaultRowHeight="14.5" x14ac:dyDescent="0.35"/>
  <cols>
    <col min="1" max="1" width="11.453125" bestFit="1" customWidth="1"/>
    <col min="2" max="2" width="16.54296875" bestFit="1" customWidth="1"/>
  </cols>
  <sheetData>
    <row r="3" spans="1:2" x14ac:dyDescent="0.35">
      <c r="A3" s="6" t="s">
        <v>23</v>
      </c>
      <c r="B3" t="s">
        <v>1</v>
      </c>
    </row>
    <row r="4" spans="1:2" x14ac:dyDescent="0.35">
      <c r="A4" t="s">
        <v>24</v>
      </c>
      <c r="B4" s="5">
        <v>7</v>
      </c>
    </row>
    <row r="5" spans="1:2" x14ac:dyDescent="0.35">
      <c r="A5" t="s">
        <v>25</v>
      </c>
      <c r="B5" s="5">
        <v>7</v>
      </c>
    </row>
    <row r="6" spans="1:2" x14ac:dyDescent="0.35">
      <c r="A6" t="s">
        <v>26</v>
      </c>
      <c r="B6" s="5">
        <v>6</v>
      </c>
    </row>
    <row r="7" spans="1:2" x14ac:dyDescent="0.35">
      <c r="A7" t="s">
        <v>27</v>
      </c>
      <c r="B7" s="5">
        <v>1</v>
      </c>
    </row>
    <row r="8" spans="1:2" x14ac:dyDescent="0.35">
      <c r="A8" t="s">
        <v>28</v>
      </c>
      <c r="B8" s="5">
        <v>1</v>
      </c>
    </row>
    <row r="9" spans="1:2" x14ac:dyDescent="0.35">
      <c r="A9" t="s">
        <v>29</v>
      </c>
      <c r="B9" s="5">
        <v>5</v>
      </c>
    </row>
    <row r="10" spans="1:2" x14ac:dyDescent="0.35">
      <c r="A10" t="s">
        <v>30</v>
      </c>
      <c r="B10" s="5">
        <v>3</v>
      </c>
    </row>
    <row r="11" spans="1:2" x14ac:dyDescent="0.35">
      <c r="A11" t="s">
        <v>31</v>
      </c>
      <c r="B11" s="5">
        <v>6</v>
      </c>
    </row>
    <row r="12" spans="1:2" x14ac:dyDescent="0.35">
      <c r="A12" t="s">
        <v>5</v>
      </c>
      <c r="B12" s="5">
        <v>36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J8" sqref="J8"/>
    </sheetView>
  </sheetViews>
  <sheetFormatPr defaultRowHeight="14.5" x14ac:dyDescent="0.35"/>
  <cols>
    <col min="1" max="1" width="12" bestFit="1" customWidth="1"/>
    <col min="2" max="2" width="16.54296875" bestFit="1" customWidth="1"/>
  </cols>
  <sheetData>
    <row r="3" spans="1:2" x14ac:dyDescent="0.35">
      <c r="A3" s="6" t="s">
        <v>32</v>
      </c>
      <c r="B3" t="s">
        <v>1</v>
      </c>
    </row>
    <row r="4" spans="1:2" x14ac:dyDescent="0.35">
      <c r="A4" t="s">
        <v>33</v>
      </c>
      <c r="B4" s="5">
        <v>17</v>
      </c>
    </row>
    <row r="5" spans="1:2" x14ac:dyDescent="0.35">
      <c r="A5" t="s">
        <v>34</v>
      </c>
      <c r="B5" s="5">
        <v>9</v>
      </c>
    </row>
    <row r="6" spans="1:2" x14ac:dyDescent="0.35">
      <c r="A6" t="s">
        <v>35</v>
      </c>
      <c r="B6" s="5">
        <v>4</v>
      </c>
    </row>
    <row r="7" spans="1:2" x14ac:dyDescent="0.35">
      <c r="A7" t="s">
        <v>36</v>
      </c>
      <c r="B7" s="5">
        <v>2</v>
      </c>
    </row>
    <row r="8" spans="1:2" x14ac:dyDescent="0.35">
      <c r="A8" t="s">
        <v>37</v>
      </c>
      <c r="B8" s="5">
        <v>2</v>
      </c>
    </row>
    <row r="9" spans="1:2" x14ac:dyDescent="0.35">
      <c r="A9" t="s">
        <v>38</v>
      </c>
      <c r="B9" s="5">
        <v>2</v>
      </c>
    </row>
    <row r="10" spans="1:2" x14ac:dyDescent="0.35">
      <c r="A10" t="s">
        <v>5</v>
      </c>
      <c r="B10" s="5">
        <v>36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0"/>
  <sheetViews>
    <sheetView workbookViewId="0">
      <selection activeCell="J8" sqref="J8"/>
    </sheetView>
  </sheetViews>
  <sheetFormatPr defaultRowHeight="14.5" x14ac:dyDescent="0.35"/>
  <cols>
    <col min="2" max="2" width="19.54296875" bestFit="1" customWidth="1"/>
    <col min="6" max="6" width="12.54296875" bestFit="1" customWidth="1"/>
    <col min="7" max="7" width="10.26953125" bestFit="1" customWidth="1"/>
    <col min="8" max="8" width="10.26953125" customWidth="1"/>
    <col min="16" max="16" width="10.81640625" bestFit="1" customWidth="1"/>
  </cols>
  <sheetData>
    <row r="2" spans="1:16" x14ac:dyDescent="0.35">
      <c r="A2" s="1" t="s">
        <v>39</v>
      </c>
      <c r="B2" s="1" t="s">
        <v>40</v>
      </c>
      <c r="C2" s="1" t="s">
        <v>41</v>
      </c>
      <c r="D2" s="1" t="s">
        <v>7</v>
      </c>
      <c r="E2" s="1" t="s">
        <v>42</v>
      </c>
      <c r="F2" s="4" t="s">
        <v>19</v>
      </c>
      <c r="G2" s="1" t="s">
        <v>43</v>
      </c>
      <c r="H2" s="4" t="s">
        <v>0</v>
      </c>
      <c r="I2" s="1" t="s">
        <v>10</v>
      </c>
      <c r="J2" s="1" t="s">
        <v>23</v>
      </c>
      <c r="K2" s="1" t="s">
        <v>32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15</v>
      </c>
    </row>
    <row r="3" spans="1:16" x14ac:dyDescent="0.35">
      <c r="A3">
        <v>1</v>
      </c>
      <c r="B3" t="s">
        <v>48</v>
      </c>
      <c r="C3">
        <v>1029312</v>
      </c>
      <c r="D3" t="s">
        <v>9</v>
      </c>
      <c r="E3">
        <v>44</v>
      </c>
      <c r="F3" t="str">
        <f>IF(E3&gt;=50,"senior",IF(E3&gt;=30,"adult","teen"))</f>
        <v>adult</v>
      </c>
      <c r="G3" s="2">
        <v>44663</v>
      </c>
      <c r="H3" s="2" t="str">
        <f>TEXT(G3,"mmm")</f>
        <v>Apr</v>
      </c>
      <c r="I3" t="s">
        <v>11</v>
      </c>
      <c r="J3" t="s">
        <v>29</v>
      </c>
      <c r="K3" t="s">
        <v>33</v>
      </c>
      <c r="L3" t="s">
        <v>49</v>
      </c>
      <c r="M3">
        <v>1</v>
      </c>
      <c r="N3" t="s">
        <v>50</v>
      </c>
      <c r="O3">
        <v>334</v>
      </c>
      <c r="P3" t="s">
        <v>16</v>
      </c>
    </row>
    <row r="4" spans="1:16" x14ac:dyDescent="0.35">
      <c r="A4">
        <v>2</v>
      </c>
      <c r="B4" t="s">
        <v>51</v>
      </c>
      <c r="C4">
        <v>1029312</v>
      </c>
      <c r="D4" t="s">
        <v>8</v>
      </c>
      <c r="E4">
        <v>29</v>
      </c>
      <c r="F4" t="str">
        <f t="shared" ref="F4:F37" si="0">IF(E4&gt;=50,"senior",IF(E4&gt;=30,"adult","teen"))</f>
        <v>teen</v>
      </c>
      <c r="G4" s="3">
        <v>44663</v>
      </c>
      <c r="H4" s="2" t="str">
        <f t="shared" ref="H4:H38" si="1">TEXT(G4,"mmm")</f>
        <v>Apr</v>
      </c>
      <c r="I4" t="s">
        <v>11</v>
      </c>
      <c r="J4" t="s">
        <v>26</v>
      </c>
      <c r="K4" t="s">
        <v>35</v>
      </c>
      <c r="L4" t="s">
        <v>52</v>
      </c>
      <c r="M4">
        <v>1</v>
      </c>
      <c r="N4" t="s">
        <v>50</v>
      </c>
      <c r="O4">
        <v>456</v>
      </c>
      <c r="P4" t="s">
        <v>17</v>
      </c>
    </row>
    <row r="5" spans="1:16" x14ac:dyDescent="0.35">
      <c r="A5">
        <v>3</v>
      </c>
      <c r="B5" t="s">
        <v>53</v>
      </c>
      <c r="C5">
        <v>1029312</v>
      </c>
      <c r="D5" t="s">
        <v>9</v>
      </c>
      <c r="E5">
        <v>35</v>
      </c>
      <c r="F5" t="str">
        <f t="shared" si="0"/>
        <v>adult</v>
      </c>
      <c r="G5" s="2">
        <v>44663</v>
      </c>
      <c r="H5" s="2" t="str">
        <f t="shared" si="1"/>
        <v>Apr</v>
      </c>
      <c r="I5" t="s">
        <v>11</v>
      </c>
      <c r="J5" t="s">
        <v>30</v>
      </c>
      <c r="K5" t="s">
        <v>35</v>
      </c>
      <c r="L5" t="s">
        <v>44</v>
      </c>
      <c r="M5">
        <v>1</v>
      </c>
      <c r="N5" t="s">
        <v>50</v>
      </c>
      <c r="O5">
        <v>345</v>
      </c>
      <c r="P5" t="s">
        <v>18</v>
      </c>
    </row>
    <row r="6" spans="1:16" x14ac:dyDescent="0.35">
      <c r="A6">
        <v>4</v>
      </c>
      <c r="B6" t="s">
        <v>54</v>
      </c>
      <c r="C6">
        <v>1029312</v>
      </c>
      <c r="D6" t="s">
        <v>9</v>
      </c>
      <c r="E6">
        <v>56</v>
      </c>
      <c r="F6" t="str">
        <f t="shared" si="0"/>
        <v>senior</v>
      </c>
      <c r="G6" s="2">
        <v>44663</v>
      </c>
      <c r="H6" s="2" t="str">
        <f t="shared" si="1"/>
        <v>Apr</v>
      </c>
      <c r="I6" t="s">
        <v>11</v>
      </c>
      <c r="J6" t="s">
        <v>31</v>
      </c>
      <c r="K6" t="s">
        <v>35</v>
      </c>
      <c r="L6" t="s">
        <v>55</v>
      </c>
      <c r="M6">
        <v>1</v>
      </c>
      <c r="N6" t="s">
        <v>50</v>
      </c>
      <c r="O6">
        <v>123</v>
      </c>
      <c r="P6" t="s">
        <v>16</v>
      </c>
    </row>
    <row r="7" spans="1:16" x14ac:dyDescent="0.35">
      <c r="A7">
        <v>5</v>
      </c>
      <c r="B7" t="s">
        <v>56</v>
      </c>
      <c r="C7">
        <v>1029312</v>
      </c>
      <c r="D7" t="s">
        <v>9</v>
      </c>
      <c r="E7">
        <v>35</v>
      </c>
      <c r="F7" t="str">
        <f t="shared" si="0"/>
        <v>adult</v>
      </c>
      <c r="G7" s="2">
        <v>44663</v>
      </c>
      <c r="H7" s="2" t="str">
        <f t="shared" si="1"/>
        <v>Apr</v>
      </c>
      <c r="I7" t="s">
        <v>11</v>
      </c>
      <c r="J7" t="s">
        <v>25</v>
      </c>
      <c r="K7" t="s">
        <v>33</v>
      </c>
      <c r="L7" t="s">
        <v>57</v>
      </c>
      <c r="M7">
        <v>1</v>
      </c>
      <c r="N7" t="s">
        <v>50</v>
      </c>
      <c r="O7">
        <v>456</v>
      </c>
      <c r="P7" t="s">
        <v>17</v>
      </c>
    </row>
    <row r="8" spans="1:16" x14ac:dyDescent="0.35">
      <c r="A8">
        <v>6</v>
      </c>
      <c r="B8" t="s">
        <v>58</v>
      </c>
      <c r="C8">
        <v>1029312</v>
      </c>
      <c r="D8" t="s">
        <v>9</v>
      </c>
      <c r="E8">
        <v>23</v>
      </c>
      <c r="F8" t="str">
        <f t="shared" si="0"/>
        <v>teen</v>
      </c>
      <c r="G8" s="2">
        <v>44663</v>
      </c>
      <c r="H8" s="2" t="str">
        <f t="shared" si="1"/>
        <v>Apr</v>
      </c>
      <c r="I8" t="s">
        <v>11</v>
      </c>
      <c r="J8" t="s">
        <v>25</v>
      </c>
      <c r="K8" t="s">
        <v>34</v>
      </c>
      <c r="L8" t="s">
        <v>52</v>
      </c>
      <c r="M8">
        <v>1</v>
      </c>
      <c r="N8" t="s">
        <v>50</v>
      </c>
      <c r="O8">
        <v>123</v>
      </c>
      <c r="P8" t="s">
        <v>16</v>
      </c>
    </row>
    <row r="9" spans="1:16" x14ac:dyDescent="0.35">
      <c r="A9">
        <v>7</v>
      </c>
      <c r="B9" t="s">
        <v>59</v>
      </c>
      <c r="C9">
        <v>1029312</v>
      </c>
      <c r="D9" t="s">
        <v>8</v>
      </c>
      <c r="E9">
        <v>45</v>
      </c>
      <c r="F9" t="str">
        <f t="shared" si="0"/>
        <v>adult</v>
      </c>
      <c r="G9" s="2">
        <v>44663</v>
      </c>
      <c r="H9" s="2" t="str">
        <f t="shared" si="1"/>
        <v>Apr</v>
      </c>
      <c r="I9" t="s">
        <v>11</v>
      </c>
      <c r="J9" t="s">
        <v>29</v>
      </c>
      <c r="K9" t="s">
        <v>33</v>
      </c>
      <c r="L9" t="s">
        <v>49</v>
      </c>
      <c r="M9">
        <v>1</v>
      </c>
      <c r="N9" t="s">
        <v>50</v>
      </c>
      <c r="O9">
        <v>456</v>
      </c>
      <c r="P9" t="s">
        <v>16</v>
      </c>
    </row>
    <row r="10" spans="1:16" x14ac:dyDescent="0.35">
      <c r="A10">
        <v>8</v>
      </c>
      <c r="B10" t="s">
        <v>60</v>
      </c>
      <c r="C10">
        <v>1029312</v>
      </c>
      <c r="D10" t="s">
        <v>8</v>
      </c>
      <c r="E10">
        <v>67</v>
      </c>
      <c r="F10" t="str">
        <f t="shared" si="0"/>
        <v>senior</v>
      </c>
      <c r="G10" s="2">
        <v>44663</v>
      </c>
      <c r="H10" s="2" t="str">
        <f t="shared" si="1"/>
        <v>Apr</v>
      </c>
      <c r="I10" t="s">
        <v>11</v>
      </c>
      <c r="J10" t="s">
        <v>29</v>
      </c>
      <c r="K10" t="s">
        <v>33</v>
      </c>
      <c r="L10" t="s">
        <v>57</v>
      </c>
      <c r="M10">
        <v>1</v>
      </c>
      <c r="N10" t="s">
        <v>50</v>
      </c>
      <c r="O10">
        <v>789</v>
      </c>
      <c r="P10" t="s">
        <v>16</v>
      </c>
    </row>
    <row r="11" spans="1:16" x14ac:dyDescent="0.35">
      <c r="A11">
        <v>9</v>
      </c>
      <c r="B11" t="s">
        <v>61</v>
      </c>
      <c r="C11">
        <v>1029312</v>
      </c>
      <c r="D11" t="s">
        <v>8</v>
      </c>
      <c r="E11">
        <v>23</v>
      </c>
      <c r="F11" t="str">
        <f t="shared" si="0"/>
        <v>teen</v>
      </c>
      <c r="G11" s="2">
        <v>44663</v>
      </c>
      <c r="H11" s="2" t="str">
        <f t="shared" si="1"/>
        <v>Apr</v>
      </c>
      <c r="I11" t="s">
        <v>11</v>
      </c>
      <c r="J11" t="s">
        <v>29</v>
      </c>
      <c r="K11" t="s">
        <v>35</v>
      </c>
      <c r="L11" t="s">
        <v>8</v>
      </c>
      <c r="M11">
        <v>1</v>
      </c>
      <c r="N11" t="s">
        <v>50</v>
      </c>
      <c r="O11">
        <v>12</v>
      </c>
      <c r="P11" t="s">
        <v>62</v>
      </c>
    </row>
    <row r="12" spans="1:16" x14ac:dyDescent="0.35">
      <c r="A12">
        <v>10</v>
      </c>
      <c r="B12" t="s">
        <v>63</v>
      </c>
      <c r="C12">
        <v>1029312</v>
      </c>
      <c r="D12" t="s">
        <v>8</v>
      </c>
      <c r="E12">
        <v>12</v>
      </c>
      <c r="F12" t="str">
        <f t="shared" si="0"/>
        <v>teen</v>
      </c>
      <c r="G12" s="2">
        <v>44663</v>
      </c>
      <c r="H12" s="2" t="str">
        <f t="shared" si="1"/>
        <v>Apr</v>
      </c>
      <c r="I12" t="s">
        <v>13</v>
      </c>
      <c r="J12" t="s">
        <v>25</v>
      </c>
      <c r="K12" t="s">
        <v>34</v>
      </c>
      <c r="L12" t="s">
        <v>8</v>
      </c>
      <c r="M12">
        <v>1</v>
      </c>
      <c r="N12" t="s">
        <v>50</v>
      </c>
      <c r="O12">
        <v>345</v>
      </c>
      <c r="P12" t="s">
        <v>62</v>
      </c>
    </row>
    <row r="13" spans="1:16" x14ac:dyDescent="0.35">
      <c r="A13">
        <v>11</v>
      </c>
      <c r="B13" t="s">
        <v>64</v>
      </c>
      <c r="C13">
        <v>1029312</v>
      </c>
      <c r="D13" t="s">
        <v>9</v>
      </c>
      <c r="E13">
        <v>89</v>
      </c>
      <c r="F13" t="str">
        <f t="shared" si="0"/>
        <v>senior</v>
      </c>
      <c r="G13" s="2">
        <v>44663</v>
      </c>
      <c r="H13" s="2" t="str">
        <f t="shared" si="1"/>
        <v>Apr</v>
      </c>
      <c r="I13" t="s">
        <v>13</v>
      </c>
      <c r="J13" t="s">
        <v>25</v>
      </c>
      <c r="K13" t="s">
        <v>38</v>
      </c>
      <c r="L13" t="s">
        <v>49</v>
      </c>
      <c r="M13">
        <v>1</v>
      </c>
      <c r="N13" t="s">
        <v>50</v>
      </c>
      <c r="O13">
        <v>678</v>
      </c>
      <c r="P13" t="s">
        <v>16</v>
      </c>
    </row>
    <row r="14" spans="1:16" x14ac:dyDescent="0.35">
      <c r="A14">
        <v>12</v>
      </c>
      <c r="B14" t="s">
        <v>65</v>
      </c>
      <c r="C14">
        <v>1029312</v>
      </c>
      <c r="D14" t="s">
        <v>9</v>
      </c>
      <c r="E14">
        <v>34</v>
      </c>
      <c r="F14" t="str">
        <f t="shared" si="0"/>
        <v>adult</v>
      </c>
      <c r="G14" s="2">
        <v>44663</v>
      </c>
      <c r="H14" s="2" t="str">
        <f t="shared" si="1"/>
        <v>Apr</v>
      </c>
      <c r="I14" t="s">
        <v>13</v>
      </c>
      <c r="J14" t="s">
        <v>26</v>
      </c>
      <c r="K14" t="s">
        <v>33</v>
      </c>
      <c r="L14" t="s">
        <v>44</v>
      </c>
      <c r="M14">
        <v>1</v>
      </c>
      <c r="N14" t="s">
        <v>50</v>
      </c>
      <c r="O14">
        <v>901</v>
      </c>
      <c r="P14" t="s">
        <v>16</v>
      </c>
    </row>
    <row r="15" spans="1:16" x14ac:dyDescent="0.35">
      <c r="A15">
        <v>13</v>
      </c>
      <c r="B15" t="s">
        <v>66</v>
      </c>
      <c r="C15">
        <v>1029312</v>
      </c>
      <c r="D15" t="s">
        <v>8</v>
      </c>
      <c r="E15">
        <v>56</v>
      </c>
      <c r="F15" t="str">
        <f t="shared" si="0"/>
        <v>senior</v>
      </c>
      <c r="G15" s="2">
        <v>44629</v>
      </c>
      <c r="H15" s="2" t="str">
        <f t="shared" si="1"/>
        <v>Mar</v>
      </c>
      <c r="I15" t="s">
        <v>13</v>
      </c>
      <c r="J15" t="s">
        <v>26</v>
      </c>
      <c r="K15" t="s">
        <v>33</v>
      </c>
      <c r="L15" t="s">
        <v>49</v>
      </c>
      <c r="M15">
        <v>1</v>
      </c>
      <c r="N15" t="s">
        <v>50</v>
      </c>
      <c r="O15">
        <v>234</v>
      </c>
      <c r="P15" t="s">
        <v>67</v>
      </c>
    </row>
    <row r="16" spans="1:16" x14ac:dyDescent="0.35">
      <c r="A16">
        <v>14</v>
      </c>
      <c r="B16" t="s">
        <v>68</v>
      </c>
      <c r="C16">
        <v>1029312</v>
      </c>
      <c r="D16" t="s">
        <v>8</v>
      </c>
      <c r="E16">
        <v>78</v>
      </c>
      <c r="F16" t="str">
        <f t="shared" si="0"/>
        <v>senior</v>
      </c>
      <c r="G16" s="2">
        <v>44629</v>
      </c>
      <c r="H16" s="2" t="str">
        <f t="shared" si="1"/>
        <v>Mar</v>
      </c>
      <c r="I16" t="s">
        <v>13</v>
      </c>
      <c r="J16" t="s">
        <v>26</v>
      </c>
      <c r="K16" t="s">
        <v>33</v>
      </c>
      <c r="L16" t="s">
        <v>57</v>
      </c>
      <c r="M16">
        <v>1</v>
      </c>
      <c r="N16" t="s">
        <v>50</v>
      </c>
      <c r="O16">
        <v>567</v>
      </c>
      <c r="P16" t="s">
        <v>17</v>
      </c>
    </row>
    <row r="17" spans="1:16" x14ac:dyDescent="0.35">
      <c r="A17">
        <v>15</v>
      </c>
      <c r="B17" t="s">
        <v>69</v>
      </c>
      <c r="C17">
        <v>1029312</v>
      </c>
      <c r="D17" t="s">
        <v>9</v>
      </c>
      <c r="E17">
        <v>12</v>
      </c>
      <c r="F17" t="str">
        <f t="shared" si="0"/>
        <v>teen</v>
      </c>
      <c r="G17" s="2">
        <v>44629</v>
      </c>
      <c r="H17" s="2" t="str">
        <f t="shared" si="1"/>
        <v>Mar</v>
      </c>
      <c r="I17" t="s">
        <v>13</v>
      </c>
      <c r="J17" t="s">
        <v>30</v>
      </c>
      <c r="K17" t="s">
        <v>34</v>
      </c>
      <c r="L17" t="s">
        <v>55</v>
      </c>
      <c r="M17">
        <v>1</v>
      </c>
      <c r="N17" t="s">
        <v>50</v>
      </c>
      <c r="O17">
        <v>890</v>
      </c>
      <c r="P17" t="s">
        <v>17</v>
      </c>
    </row>
    <row r="18" spans="1:16" x14ac:dyDescent="0.35">
      <c r="A18">
        <v>16</v>
      </c>
      <c r="B18" t="s">
        <v>70</v>
      </c>
      <c r="C18">
        <v>1029312</v>
      </c>
      <c r="D18" t="s">
        <v>8</v>
      </c>
      <c r="E18">
        <v>34</v>
      </c>
      <c r="F18" t="str">
        <f t="shared" si="0"/>
        <v>adult</v>
      </c>
      <c r="G18" s="2">
        <v>44629</v>
      </c>
      <c r="H18" s="2" t="str">
        <f t="shared" si="1"/>
        <v>Mar</v>
      </c>
      <c r="I18" t="s">
        <v>12</v>
      </c>
      <c r="J18" t="s">
        <v>30</v>
      </c>
      <c r="K18" t="s">
        <v>36</v>
      </c>
      <c r="L18" t="s">
        <v>52</v>
      </c>
      <c r="M18">
        <v>1</v>
      </c>
      <c r="N18" t="s">
        <v>50</v>
      </c>
      <c r="O18">
        <v>123</v>
      </c>
      <c r="P18" t="s">
        <v>17</v>
      </c>
    </row>
    <row r="19" spans="1:16" x14ac:dyDescent="0.35">
      <c r="A19">
        <v>17</v>
      </c>
      <c r="B19" t="s">
        <v>71</v>
      </c>
      <c r="C19">
        <v>1029312</v>
      </c>
      <c r="D19" t="s">
        <v>9</v>
      </c>
      <c r="E19">
        <v>56</v>
      </c>
      <c r="F19" t="str">
        <f t="shared" si="0"/>
        <v>senior</v>
      </c>
      <c r="G19" s="2">
        <v>44629</v>
      </c>
      <c r="H19" s="2" t="str">
        <f t="shared" si="1"/>
        <v>Mar</v>
      </c>
      <c r="I19" t="s">
        <v>12</v>
      </c>
      <c r="J19" t="s">
        <v>24</v>
      </c>
      <c r="K19" t="s">
        <v>37</v>
      </c>
      <c r="L19" t="s">
        <v>49</v>
      </c>
      <c r="M19">
        <v>1</v>
      </c>
      <c r="N19" t="s">
        <v>50</v>
      </c>
      <c r="O19">
        <v>456</v>
      </c>
      <c r="P19" t="s">
        <v>18</v>
      </c>
    </row>
    <row r="20" spans="1:16" x14ac:dyDescent="0.35">
      <c r="A20">
        <v>18</v>
      </c>
      <c r="B20" t="s">
        <v>72</v>
      </c>
      <c r="C20">
        <v>1029312</v>
      </c>
      <c r="D20" t="s">
        <v>8</v>
      </c>
      <c r="E20">
        <v>78</v>
      </c>
      <c r="F20" t="str">
        <f t="shared" si="0"/>
        <v>senior</v>
      </c>
      <c r="G20" s="2">
        <v>44658</v>
      </c>
      <c r="H20" s="2" t="str">
        <f t="shared" si="1"/>
        <v>Apr</v>
      </c>
      <c r="I20" t="s">
        <v>12</v>
      </c>
      <c r="J20" t="s">
        <v>24</v>
      </c>
      <c r="K20" t="s">
        <v>38</v>
      </c>
      <c r="L20" t="s">
        <v>49</v>
      </c>
      <c r="M20">
        <v>1</v>
      </c>
      <c r="N20" t="s">
        <v>50</v>
      </c>
      <c r="O20">
        <v>789</v>
      </c>
      <c r="P20" t="s">
        <v>17</v>
      </c>
    </row>
    <row r="21" spans="1:16" x14ac:dyDescent="0.35">
      <c r="A21">
        <v>19</v>
      </c>
      <c r="B21" t="s">
        <v>73</v>
      </c>
      <c r="C21">
        <v>1029312</v>
      </c>
      <c r="D21" t="s">
        <v>9</v>
      </c>
      <c r="E21">
        <v>90</v>
      </c>
      <c r="F21" t="str">
        <f t="shared" si="0"/>
        <v>senior</v>
      </c>
      <c r="G21" s="2">
        <v>44658</v>
      </c>
      <c r="H21" s="2" t="str">
        <f t="shared" si="1"/>
        <v>Apr</v>
      </c>
      <c r="I21" t="s">
        <v>12</v>
      </c>
      <c r="J21" t="s">
        <v>31</v>
      </c>
      <c r="K21" t="s">
        <v>33</v>
      </c>
      <c r="L21" t="s">
        <v>49</v>
      </c>
      <c r="M21">
        <v>1</v>
      </c>
      <c r="N21" t="s">
        <v>50</v>
      </c>
      <c r="O21">
        <v>12</v>
      </c>
      <c r="P21" t="s">
        <v>17</v>
      </c>
    </row>
    <row r="22" spans="1:16" x14ac:dyDescent="0.35">
      <c r="A22">
        <v>20</v>
      </c>
      <c r="B22" t="s">
        <v>74</v>
      </c>
      <c r="C22">
        <v>1029312</v>
      </c>
      <c r="D22" t="s">
        <v>8</v>
      </c>
      <c r="E22">
        <v>12</v>
      </c>
      <c r="F22" t="str">
        <f t="shared" si="0"/>
        <v>teen</v>
      </c>
      <c r="G22" s="2">
        <v>44658</v>
      </c>
      <c r="H22" s="2" t="str">
        <f t="shared" si="1"/>
        <v>Apr</v>
      </c>
      <c r="I22" t="s">
        <v>12</v>
      </c>
      <c r="J22" t="s">
        <v>24</v>
      </c>
      <c r="K22" t="s">
        <v>34</v>
      </c>
      <c r="L22" t="s">
        <v>57</v>
      </c>
      <c r="M22">
        <v>1</v>
      </c>
      <c r="N22" t="s">
        <v>50</v>
      </c>
      <c r="O22">
        <v>345</v>
      </c>
      <c r="P22" t="s">
        <v>18</v>
      </c>
    </row>
    <row r="23" spans="1:16" x14ac:dyDescent="0.35">
      <c r="A23">
        <v>21</v>
      </c>
      <c r="B23" t="s">
        <v>75</v>
      </c>
      <c r="C23">
        <v>1029312</v>
      </c>
      <c r="D23" t="s">
        <v>9</v>
      </c>
      <c r="E23">
        <v>34</v>
      </c>
      <c r="F23" t="str">
        <f t="shared" si="0"/>
        <v>adult</v>
      </c>
      <c r="G23" s="2">
        <v>44658</v>
      </c>
      <c r="H23" s="2" t="str">
        <f t="shared" si="1"/>
        <v>Apr</v>
      </c>
      <c r="I23" t="s">
        <v>12</v>
      </c>
      <c r="J23" t="s">
        <v>31</v>
      </c>
      <c r="K23" t="s">
        <v>34</v>
      </c>
      <c r="L23" t="s">
        <v>49</v>
      </c>
      <c r="M23">
        <v>1</v>
      </c>
      <c r="N23" t="s">
        <v>50</v>
      </c>
      <c r="O23">
        <v>678</v>
      </c>
      <c r="P23" t="s">
        <v>17</v>
      </c>
    </row>
    <row r="24" spans="1:16" x14ac:dyDescent="0.35">
      <c r="A24">
        <v>22</v>
      </c>
      <c r="B24" t="s">
        <v>76</v>
      </c>
      <c r="C24">
        <v>1029312</v>
      </c>
      <c r="D24" t="s">
        <v>8</v>
      </c>
      <c r="E24">
        <v>56</v>
      </c>
      <c r="F24" t="str">
        <f t="shared" si="0"/>
        <v>senior</v>
      </c>
      <c r="G24" s="2">
        <v>44626</v>
      </c>
      <c r="H24" s="2" t="str">
        <f t="shared" si="1"/>
        <v>Mar</v>
      </c>
      <c r="I24" t="s">
        <v>12</v>
      </c>
      <c r="J24" t="s">
        <v>31</v>
      </c>
      <c r="K24" t="s">
        <v>33</v>
      </c>
      <c r="L24" t="s">
        <v>57</v>
      </c>
      <c r="M24">
        <v>1</v>
      </c>
      <c r="N24" t="s">
        <v>50</v>
      </c>
      <c r="O24">
        <v>901</v>
      </c>
      <c r="P24" t="s">
        <v>17</v>
      </c>
    </row>
    <row r="25" spans="1:16" x14ac:dyDescent="0.35">
      <c r="A25">
        <v>23</v>
      </c>
      <c r="B25" t="s">
        <v>77</v>
      </c>
      <c r="C25">
        <v>1029312</v>
      </c>
      <c r="D25" t="s">
        <v>9</v>
      </c>
      <c r="E25">
        <v>78</v>
      </c>
      <c r="F25" t="str">
        <f t="shared" si="0"/>
        <v>senior</v>
      </c>
      <c r="G25" s="2">
        <v>44626</v>
      </c>
      <c r="H25" s="2" t="str">
        <f t="shared" si="1"/>
        <v>Mar</v>
      </c>
      <c r="I25" t="s">
        <v>12</v>
      </c>
      <c r="J25" t="s">
        <v>31</v>
      </c>
      <c r="K25" t="s">
        <v>33</v>
      </c>
      <c r="L25" t="s">
        <v>57</v>
      </c>
      <c r="M25">
        <v>1</v>
      </c>
      <c r="N25" t="s">
        <v>50</v>
      </c>
      <c r="O25">
        <v>234</v>
      </c>
      <c r="P25" t="s">
        <v>18</v>
      </c>
    </row>
    <row r="26" spans="1:16" x14ac:dyDescent="0.35">
      <c r="A26">
        <v>24</v>
      </c>
      <c r="B26" t="s">
        <v>78</v>
      </c>
      <c r="C26">
        <v>1029312</v>
      </c>
      <c r="D26" t="s">
        <v>8</v>
      </c>
      <c r="E26">
        <v>90</v>
      </c>
      <c r="F26" t="str">
        <f t="shared" si="0"/>
        <v>senior</v>
      </c>
      <c r="G26" s="2">
        <v>44627</v>
      </c>
      <c r="H26" s="2" t="str">
        <f t="shared" si="1"/>
        <v>Mar</v>
      </c>
      <c r="I26" t="s">
        <v>13</v>
      </c>
      <c r="J26" t="s">
        <v>24</v>
      </c>
      <c r="K26" t="s">
        <v>34</v>
      </c>
      <c r="L26" t="s">
        <v>57</v>
      </c>
      <c r="M26">
        <v>1</v>
      </c>
      <c r="N26" t="s">
        <v>50</v>
      </c>
      <c r="O26">
        <v>567</v>
      </c>
      <c r="P26" t="s">
        <v>17</v>
      </c>
    </row>
    <row r="27" spans="1:16" x14ac:dyDescent="0.35">
      <c r="A27">
        <v>25</v>
      </c>
      <c r="B27" t="s">
        <v>79</v>
      </c>
      <c r="C27">
        <v>1029312</v>
      </c>
      <c r="D27" t="s">
        <v>9</v>
      </c>
      <c r="E27">
        <v>12</v>
      </c>
      <c r="F27" t="str">
        <f t="shared" si="0"/>
        <v>teen</v>
      </c>
      <c r="G27" s="2">
        <v>44628</v>
      </c>
      <c r="H27" s="2" t="str">
        <f t="shared" si="1"/>
        <v>Mar</v>
      </c>
      <c r="I27" t="s">
        <v>11</v>
      </c>
      <c r="J27" t="s">
        <v>24</v>
      </c>
      <c r="K27" t="s">
        <v>36</v>
      </c>
      <c r="L27" t="s">
        <v>57</v>
      </c>
      <c r="M27">
        <v>1</v>
      </c>
      <c r="N27" t="s">
        <v>50</v>
      </c>
      <c r="O27">
        <v>890</v>
      </c>
      <c r="P27" t="s">
        <v>18</v>
      </c>
    </row>
    <row r="28" spans="1:16" x14ac:dyDescent="0.35">
      <c r="A28">
        <v>26</v>
      </c>
      <c r="B28" t="s">
        <v>80</v>
      </c>
      <c r="C28">
        <v>1029312</v>
      </c>
      <c r="D28" t="s">
        <v>8</v>
      </c>
      <c r="E28">
        <v>34</v>
      </c>
      <c r="F28" t="str">
        <f t="shared" si="0"/>
        <v>adult</v>
      </c>
      <c r="G28" s="2">
        <v>44629</v>
      </c>
      <c r="H28" s="2" t="str">
        <f t="shared" si="1"/>
        <v>Mar</v>
      </c>
      <c r="I28" t="s">
        <v>14</v>
      </c>
      <c r="J28" t="s">
        <v>31</v>
      </c>
      <c r="K28" t="s">
        <v>37</v>
      </c>
      <c r="L28" t="s">
        <v>57</v>
      </c>
      <c r="M28">
        <v>1</v>
      </c>
      <c r="N28" t="s">
        <v>50</v>
      </c>
      <c r="O28">
        <v>123</v>
      </c>
      <c r="P28" t="s">
        <v>17</v>
      </c>
    </row>
    <row r="29" spans="1:16" x14ac:dyDescent="0.35">
      <c r="A29">
        <v>27</v>
      </c>
      <c r="B29" t="s">
        <v>81</v>
      </c>
      <c r="C29">
        <v>1029312</v>
      </c>
      <c r="D29" t="s">
        <v>8</v>
      </c>
      <c r="E29">
        <v>56</v>
      </c>
      <c r="F29" t="str">
        <f t="shared" si="0"/>
        <v>senior</v>
      </c>
      <c r="G29" s="2">
        <v>44630</v>
      </c>
      <c r="H29" s="2" t="str">
        <f t="shared" si="1"/>
        <v>Mar</v>
      </c>
      <c r="I29" t="s">
        <v>14</v>
      </c>
      <c r="J29" t="s">
        <v>26</v>
      </c>
      <c r="K29" t="s">
        <v>34</v>
      </c>
      <c r="L29" t="s">
        <v>57</v>
      </c>
      <c r="M29">
        <v>1</v>
      </c>
      <c r="N29" t="s">
        <v>50</v>
      </c>
      <c r="O29">
        <v>456</v>
      </c>
      <c r="P29" t="s">
        <v>18</v>
      </c>
    </row>
    <row r="30" spans="1:16" x14ac:dyDescent="0.35">
      <c r="A30">
        <v>28</v>
      </c>
      <c r="B30" t="s">
        <v>82</v>
      </c>
      <c r="C30">
        <v>1029312</v>
      </c>
      <c r="D30" t="s">
        <v>9</v>
      </c>
      <c r="E30">
        <v>78</v>
      </c>
      <c r="F30" t="str">
        <f t="shared" si="0"/>
        <v>senior</v>
      </c>
      <c r="G30" s="2">
        <v>44631</v>
      </c>
      <c r="H30" s="2" t="str">
        <f t="shared" si="1"/>
        <v>Mar</v>
      </c>
      <c r="I30" t="s">
        <v>14</v>
      </c>
      <c r="J30" t="s">
        <v>26</v>
      </c>
      <c r="K30" t="s">
        <v>33</v>
      </c>
      <c r="L30" t="s">
        <v>55</v>
      </c>
      <c r="M30">
        <v>1</v>
      </c>
      <c r="N30" t="s">
        <v>50</v>
      </c>
      <c r="O30">
        <v>789</v>
      </c>
      <c r="P30" t="s">
        <v>17</v>
      </c>
    </row>
    <row r="31" spans="1:16" x14ac:dyDescent="0.35">
      <c r="A31">
        <v>29</v>
      </c>
      <c r="B31" t="s">
        <v>83</v>
      </c>
      <c r="C31">
        <v>1029312</v>
      </c>
      <c r="D31" t="s">
        <v>9</v>
      </c>
      <c r="E31">
        <v>90</v>
      </c>
      <c r="F31" t="str">
        <f t="shared" si="0"/>
        <v>senior</v>
      </c>
      <c r="G31" s="2">
        <v>44632</v>
      </c>
      <c r="H31" s="2" t="str">
        <f t="shared" si="1"/>
        <v>Mar</v>
      </c>
      <c r="I31" t="s">
        <v>14</v>
      </c>
      <c r="J31" t="s">
        <v>29</v>
      </c>
      <c r="K31" t="s">
        <v>34</v>
      </c>
      <c r="L31" t="s">
        <v>57</v>
      </c>
      <c r="M31">
        <v>1</v>
      </c>
      <c r="N31" t="s">
        <v>50</v>
      </c>
      <c r="O31">
        <v>234</v>
      </c>
      <c r="P31" t="s">
        <v>16</v>
      </c>
    </row>
    <row r="32" spans="1:16" x14ac:dyDescent="0.35">
      <c r="A32">
        <v>30</v>
      </c>
      <c r="B32" t="s">
        <v>84</v>
      </c>
      <c r="C32">
        <v>1029312</v>
      </c>
      <c r="D32" t="s">
        <v>9</v>
      </c>
      <c r="E32">
        <v>12</v>
      </c>
      <c r="F32" t="str">
        <f t="shared" si="0"/>
        <v>teen</v>
      </c>
      <c r="G32" s="2">
        <v>44621</v>
      </c>
      <c r="H32" s="2" t="str">
        <f t="shared" si="1"/>
        <v>Mar</v>
      </c>
      <c r="I32" t="s">
        <v>14</v>
      </c>
      <c r="J32" t="s">
        <v>26</v>
      </c>
      <c r="K32" t="s">
        <v>33</v>
      </c>
      <c r="L32" t="s">
        <v>55</v>
      </c>
      <c r="M32">
        <v>1</v>
      </c>
      <c r="N32" t="s">
        <v>50</v>
      </c>
      <c r="O32">
        <v>567</v>
      </c>
      <c r="P32" t="s">
        <v>16</v>
      </c>
    </row>
    <row r="33" spans="1:16" x14ac:dyDescent="0.35">
      <c r="A33">
        <v>31</v>
      </c>
      <c r="B33" t="s">
        <v>85</v>
      </c>
      <c r="C33">
        <v>1029312</v>
      </c>
      <c r="D33" t="s">
        <v>9</v>
      </c>
      <c r="E33">
        <v>34</v>
      </c>
      <c r="F33" t="str">
        <f t="shared" si="0"/>
        <v>adult</v>
      </c>
      <c r="G33" s="2">
        <v>44622</v>
      </c>
      <c r="H33" s="2" t="str">
        <f t="shared" si="1"/>
        <v>Mar</v>
      </c>
      <c r="I33" t="s">
        <v>14</v>
      </c>
      <c r="J33" t="s">
        <v>24</v>
      </c>
      <c r="K33" t="s">
        <v>34</v>
      </c>
      <c r="L33" t="s">
        <v>57</v>
      </c>
      <c r="M33">
        <v>1</v>
      </c>
      <c r="N33" t="s">
        <v>50</v>
      </c>
      <c r="O33">
        <v>890</v>
      </c>
      <c r="P33" t="s">
        <v>16</v>
      </c>
    </row>
    <row r="34" spans="1:16" x14ac:dyDescent="0.35">
      <c r="A34">
        <v>32</v>
      </c>
      <c r="B34" t="s">
        <v>86</v>
      </c>
      <c r="C34">
        <v>1029312</v>
      </c>
      <c r="D34" t="s">
        <v>9</v>
      </c>
      <c r="E34">
        <v>56</v>
      </c>
      <c r="F34" t="str">
        <f t="shared" si="0"/>
        <v>senior</v>
      </c>
      <c r="G34" s="2">
        <v>44623</v>
      </c>
      <c r="H34" s="2" t="str">
        <f t="shared" si="1"/>
        <v>Mar</v>
      </c>
      <c r="I34" t="s">
        <v>14</v>
      </c>
      <c r="J34" t="s">
        <v>29</v>
      </c>
      <c r="K34" t="s">
        <v>33</v>
      </c>
      <c r="L34" t="s">
        <v>52</v>
      </c>
      <c r="M34">
        <v>1</v>
      </c>
      <c r="N34" t="s">
        <v>50</v>
      </c>
      <c r="O34">
        <v>123</v>
      </c>
      <c r="P34" t="s">
        <v>16</v>
      </c>
    </row>
    <row r="35" spans="1:16" x14ac:dyDescent="0.35">
      <c r="A35">
        <v>33</v>
      </c>
      <c r="B35" t="s">
        <v>87</v>
      </c>
      <c r="C35">
        <v>1029312</v>
      </c>
      <c r="D35" t="s">
        <v>9</v>
      </c>
      <c r="E35">
        <v>78</v>
      </c>
      <c r="F35" t="str">
        <f t="shared" si="0"/>
        <v>senior</v>
      </c>
      <c r="G35" s="2">
        <v>44624</v>
      </c>
      <c r="H35" s="2" t="str">
        <f t="shared" si="1"/>
        <v>Mar</v>
      </c>
      <c r="I35" t="s">
        <v>14</v>
      </c>
      <c r="J35" t="s">
        <v>25</v>
      </c>
      <c r="K35" t="s">
        <v>33</v>
      </c>
      <c r="L35" t="s">
        <v>49</v>
      </c>
      <c r="M35">
        <v>1</v>
      </c>
      <c r="N35" t="s">
        <v>50</v>
      </c>
      <c r="O35">
        <v>456</v>
      </c>
      <c r="P35" t="s">
        <v>16</v>
      </c>
    </row>
    <row r="36" spans="1:16" x14ac:dyDescent="0.35">
      <c r="A36">
        <v>34</v>
      </c>
      <c r="B36" t="s">
        <v>88</v>
      </c>
      <c r="C36">
        <v>1029312</v>
      </c>
      <c r="D36" t="s">
        <v>9</v>
      </c>
      <c r="E36">
        <v>89</v>
      </c>
      <c r="F36" t="str">
        <f t="shared" si="0"/>
        <v>senior</v>
      </c>
      <c r="G36" s="2">
        <v>44625</v>
      </c>
      <c r="H36" s="2" t="str">
        <f t="shared" si="1"/>
        <v>Mar</v>
      </c>
      <c r="I36" t="s">
        <v>14</v>
      </c>
      <c r="J36" t="s">
        <v>25</v>
      </c>
      <c r="K36" t="s">
        <v>33</v>
      </c>
      <c r="L36" t="s">
        <v>52</v>
      </c>
      <c r="M36">
        <v>1</v>
      </c>
      <c r="N36" t="s">
        <v>50</v>
      </c>
      <c r="O36">
        <v>789</v>
      </c>
      <c r="P36" t="s">
        <v>16</v>
      </c>
    </row>
    <row r="37" spans="1:16" x14ac:dyDescent="0.35">
      <c r="A37">
        <v>35</v>
      </c>
      <c r="B37" t="s">
        <v>89</v>
      </c>
      <c r="C37">
        <v>1029312</v>
      </c>
      <c r="D37" t="s">
        <v>9</v>
      </c>
      <c r="E37">
        <v>12</v>
      </c>
      <c r="F37" t="str">
        <f t="shared" si="0"/>
        <v>teen</v>
      </c>
      <c r="G37" s="2">
        <v>44631</v>
      </c>
      <c r="H37" s="2" t="str">
        <f t="shared" si="1"/>
        <v>Mar</v>
      </c>
      <c r="I37" t="s">
        <v>14</v>
      </c>
      <c r="J37" t="s">
        <v>25</v>
      </c>
      <c r="K37" t="s">
        <v>33</v>
      </c>
      <c r="L37" t="s">
        <v>49</v>
      </c>
      <c r="M37">
        <v>1</v>
      </c>
      <c r="N37" t="s">
        <v>50</v>
      </c>
      <c r="O37">
        <v>234</v>
      </c>
      <c r="P37" t="s">
        <v>16</v>
      </c>
    </row>
    <row r="38" spans="1:16" x14ac:dyDescent="0.35">
      <c r="A38">
        <v>36</v>
      </c>
      <c r="B38" t="s">
        <v>90</v>
      </c>
      <c r="C38">
        <v>1029312</v>
      </c>
      <c r="D38" t="s">
        <v>9</v>
      </c>
      <c r="E38">
        <v>34</v>
      </c>
      <c r="F38" t="s">
        <v>20</v>
      </c>
      <c r="G38" s="2">
        <v>44628</v>
      </c>
      <c r="H38" s="2" t="str">
        <f t="shared" si="1"/>
        <v>Mar</v>
      </c>
      <c r="I38" t="s">
        <v>14</v>
      </c>
      <c r="J38" t="s">
        <v>25</v>
      </c>
      <c r="K38" t="s">
        <v>33</v>
      </c>
      <c r="L38" t="s">
        <v>49</v>
      </c>
      <c r="M38">
        <v>1</v>
      </c>
      <c r="N38" t="s">
        <v>50</v>
      </c>
      <c r="O38">
        <v>567</v>
      </c>
      <c r="P38" t="s">
        <v>16</v>
      </c>
    </row>
    <row r="39" spans="1:16" x14ac:dyDescent="0.35">
      <c r="G39" s="2"/>
      <c r="H39" s="2"/>
    </row>
    <row r="40" spans="1:16" x14ac:dyDescent="0.35">
      <c r="G40" s="2"/>
      <c r="H40" s="2"/>
    </row>
  </sheetData>
  <autoFilter ref="A2:S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1.compare sales and order</vt:lpstr>
      <vt:lpstr>Dashboard</vt:lpstr>
      <vt:lpstr>2.MEN VS WOMEN</vt:lpstr>
      <vt:lpstr>3.ORDER STATUS</vt:lpstr>
      <vt:lpstr>4.TOP 3 CITY</vt:lpstr>
      <vt:lpstr>5.AGE AND GRNDER BASED ON NUM</vt:lpstr>
      <vt:lpstr>6.MAXIMUM CHANNEL BUY</vt:lpstr>
      <vt:lpstr>7.HIGHEST CATEGORY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2026-06-12T05:47:13Z</dcterms:created>
  <dcterms:modified xsi:type="dcterms:W3CDTF">2026-06-12T10:52:02Z</dcterms:modified>
  <cp:category/>
  <cp:contentStatus/>
</cp:coreProperties>
</file>